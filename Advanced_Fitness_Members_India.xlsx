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IPANJAN DUTTA\OneDrive\Desktop\"/>
    </mc:Choice>
  </mc:AlternateContent>
  <xr:revisionPtr revIDLastSave="5" documentId="11_A64F011CBB1A899A1320FD2987F7E085CFE4047B" xr6:coauthVersionLast="36" xr6:coauthVersionMax="36" xr10:uidLastSave="{3F4871C6-0471-4760-98E3-B6D53B8FB8A7}"/>
  <bookViews>
    <workbookView xWindow="0" yWindow="0" windowWidth="28800" windowHeight="12225" activeTab="10" xr2:uid="{00000000-000D-0000-FFFF-FFFF00000000}"/>
  </bookViews>
  <sheets>
    <sheet name="Sheet1" sheetId="1" r:id="rId1"/>
    <sheet name="1" sheetId="3" r:id="rId2"/>
    <sheet name="2" sheetId="5" r:id="rId3"/>
    <sheet name="2a" sheetId="8" r:id="rId4"/>
    <sheet name="3" sheetId="9" r:id="rId5"/>
    <sheet name="3a" sheetId="10" r:id="rId6"/>
    <sheet name="4a" sheetId="11" r:id="rId7"/>
    <sheet name="4b" sheetId="12" r:id="rId8"/>
    <sheet name="5" sheetId="15" r:id="rId9"/>
    <sheet name="6" sheetId="16" r:id="rId10"/>
    <sheet name="6a" sheetId="17" r:id="rId11"/>
  </sheets>
  <definedNames>
    <definedName name="_xlcn.WorksheetConnection_Advanced_Fitness_Members_India.xlsxTable13451" hidden="1">Table1345[]</definedName>
    <definedName name="Slicer_City">#N/A</definedName>
    <definedName name="Slicer_Membership_Type">#N/A</definedName>
    <definedName name="Slicer_Referred">#N/A</definedName>
  </definedNames>
  <calcPr calcId="191029"/>
  <pivotCaches>
    <pivotCache cacheId="0" r:id="rId12"/>
    <pivotCache cacheId="1" r:id="rId13"/>
    <pivotCache cacheId="2" r:id="rId14"/>
    <pivotCache cacheId="14"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345" name="Table1345" connection="WorksheetConnection_Advanced_Fitness_Members_India.xlsx!Table1345"/>
        </x15:modelTables>
      </x15:dataModel>
    </ext>
    <ext uri="GoogleSheetsCustomDataVersion2">
      <go:sheetsCustomData xmlns:go="http://customooxmlschemas.google.com/" r:id="rId19" roundtripDataChecksum="GJwS0+B45xNQM+LKEkjyJlcr0UGtKlsJIMlgA/KehTo="/>
    </ext>
  </extLst>
</workbook>
</file>

<file path=xl/calcChain.xml><?xml version="1.0" encoding="utf-8"?>
<calcChain xmlns="http://schemas.openxmlformats.org/spreadsheetml/2006/main">
  <c r="O2" i="16" l="1"/>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M36" i="16"/>
  <c r="L36" i="16"/>
  <c r="N36" i="16" s="1"/>
  <c r="N35" i="16"/>
  <c r="M35" i="16"/>
  <c r="L35" i="16"/>
  <c r="M34" i="16"/>
  <c r="L34" i="16"/>
  <c r="N34" i="16" s="1"/>
  <c r="M33" i="16"/>
  <c r="L33" i="16"/>
  <c r="N33" i="16" s="1"/>
  <c r="M32" i="16"/>
  <c r="L32" i="16"/>
  <c r="N32" i="16" s="1"/>
  <c r="M31" i="16"/>
  <c r="L31" i="16"/>
  <c r="N31" i="16" s="1"/>
  <c r="N30" i="16"/>
  <c r="M30" i="16"/>
  <c r="L30" i="16"/>
  <c r="N29" i="16"/>
  <c r="M29" i="16"/>
  <c r="L29" i="16"/>
  <c r="M28" i="16"/>
  <c r="L28" i="16"/>
  <c r="N28" i="16" s="1"/>
  <c r="M27" i="16"/>
  <c r="L27" i="16"/>
  <c r="N27" i="16" s="1"/>
  <c r="M26" i="16"/>
  <c r="L26" i="16"/>
  <c r="N26" i="16" s="1"/>
  <c r="M25" i="16"/>
  <c r="L25" i="16"/>
  <c r="N25" i="16" s="1"/>
  <c r="M24" i="16"/>
  <c r="L24" i="16"/>
  <c r="N24" i="16" s="1"/>
  <c r="M23" i="16"/>
  <c r="L23" i="16"/>
  <c r="N23" i="16" s="1"/>
  <c r="M22" i="16"/>
  <c r="L22" i="16"/>
  <c r="N22" i="16" s="1"/>
  <c r="N21" i="16"/>
  <c r="M21" i="16"/>
  <c r="L21" i="16"/>
  <c r="M20" i="16"/>
  <c r="L20" i="16"/>
  <c r="N20" i="16" s="1"/>
  <c r="M19" i="16"/>
  <c r="L19" i="16"/>
  <c r="N19" i="16" s="1"/>
  <c r="M18" i="16"/>
  <c r="L18" i="16"/>
  <c r="N18" i="16" s="1"/>
  <c r="M17" i="16"/>
  <c r="L17" i="16"/>
  <c r="N17" i="16" s="1"/>
  <c r="M16" i="16"/>
  <c r="L16" i="16"/>
  <c r="N16" i="16" s="1"/>
  <c r="M15" i="16"/>
  <c r="L15" i="16"/>
  <c r="N15" i="16" s="1"/>
  <c r="M14" i="16"/>
  <c r="L14" i="16"/>
  <c r="N14" i="16" s="1"/>
  <c r="N13" i="16"/>
  <c r="M13" i="16"/>
  <c r="L13" i="16"/>
  <c r="M12" i="16"/>
  <c r="L12" i="16"/>
  <c r="N12" i="16" s="1"/>
  <c r="M11" i="16"/>
  <c r="L11" i="16"/>
  <c r="N11" i="16" s="1"/>
  <c r="M10" i="16"/>
  <c r="L10" i="16"/>
  <c r="N10" i="16" s="1"/>
  <c r="M9" i="16"/>
  <c r="L9" i="16"/>
  <c r="N9" i="16" s="1"/>
  <c r="M8" i="16"/>
  <c r="L8" i="16"/>
  <c r="N8" i="16" s="1"/>
  <c r="M7" i="16"/>
  <c r="L7" i="16"/>
  <c r="N7" i="16" s="1"/>
  <c r="M6" i="16"/>
  <c r="L6" i="16"/>
  <c r="N6" i="16" s="1"/>
  <c r="N5" i="16"/>
  <c r="M5" i="16"/>
  <c r="L5" i="16"/>
  <c r="M4" i="16"/>
  <c r="L4" i="16"/>
  <c r="N4" i="16" s="1"/>
  <c r="M3" i="16"/>
  <c r="L3" i="16"/>
  <c r="N3" i="16" s="1"/>
  <c r="M2" i="16"/>
  <c r="L2" i="16"/>
  <c r="N2" i="16" s="1"/>
  <c r="M36" i="12" l="1"/>
  <c r="L36" i="12"/>
  <c r="M35" i="12"/>
  <c r="L35" i="12"/>
  <c r="M2" i="12"/>
  <c r="L2" i="12"/>
  <c r="M33" i="12"/>
  <c r="L33" i="12"/>
  <c r="M32" i="12"/>
  <c r="L32" i="12"/>
  <c r="M31" i="12"/>
  <c r="L31" i="12"/>
  <c r="M30" i="12"/>
  <c r="L30" i="12"/>
  <c r="M6" i="12"/>
  <c r="L6" i="12"/>
  <c r="M28" i="12"/>
  <c r="L28" i="12"/>
  <c r="M4" i="12"/>
  <c r="L4" i="12"/>
  <c r="M25" i="12"/>
  <c r="L25" i="12"/>
  <c r="M34" i="12"/>
  <c r="L34" i="12"/>
  <c r="M21" i="12"/>
  <c r="L21" i="12"/>
  <c r="M29" i="12"/>
  <c r="L29" i="12"/>
  <c r="M22" i="12"/>
  <c r="L22" i="12"/>
  <c r="M11" i="12"/>
  <c r="L11" i="12"/>
  <c r="M20" i="12"/>
  <c r="L20" i="12"/>
  <c r="M19" i="12"/>
  <c r="L19" i="12"/>
  <c r="M18" i="12"/>
  <c r="L18" i="12"/>
  <c r="M17" i="12"/>
  <c r="L17" i="12"/>
  <c r="M16" i="12"/>
  <c r="L16" i="12"/>
  <c r="M12" i="12"/>
  <c r="L12" i="12"/>
  <c r="M14" i="12"/>
  <c r="L14" i="12"/>
  <c r="M13" i="12"/>
  <c r="L13" i="12"/>
  <c r="M26" i="12"/>
  <c r="L26" i="12"/>
  <c r="M24" i="12"/>
  <c r="L24" i="12"/>
  <c r="M10" i="12"/>
  <c r="L10" i="12"/>
  <c r="M9" i="12"/>
  <c r="L9" i="12"/>
  <c r="M8" i="12"/>
  <c r="L8" i="12"/>
  <c r="M7" i="12"/>
  <c r="L7" i="12"/>
  <c r="M15" i="12"/>
  <c r="L15" i="12"/>
  <c r="M5" i="12"/>
  <c r="L5" i="12"/>
  <c r="M23" i="12"/>
  <c r="L23" i="12"/>
  <c r="M3" i="12"/>
  <c r="L3" i="12"/>
  <c r="M27" i="12"/>
  <c r="L27" i="12"/>
  <c r="M36" i="11"/>
  <c r="L36" i="11"/>
  <c r="M35" i="11"/>
  <c r="L35" i="11"/>
  <c r="M34" i="11"/>
  <c r="L34" i="11"/>
  <c r="M33" i="11"/>
  <c r="L33" i="11"/>
  <c r="M32" i="11"/>
  <c r="L32" i="11"/>
  <c r="M31" i="11"/>
  <c r="L31" i="11"/>
  <c r="M30" i="11"/>
  <c r="L30" i="11"/>
  <c r="M29" i="11"/>
  <c r="L29" i="11"/>
  <c r="M28" i="11"/>
  <c r="L28" i="11"/>
  <c r="M27" i="11"/>
  <c r="L27" i="11"/>
  <c r="M26" i="11"/>
  <c r="L26" i="11"/>
  <c r="M25" i="11"/>
  <c r="L25" i="11"/>
  <c r="M24" i="11"/>
  <c r="L24" i="11"/>
  <c r="M23" i="11"/>
  <c r="L23" i="11"/>
  <c r="M22" i="11"/>
  <c r="L22" i="11"/>
  <c r="M21" i="11"/>
  <c r="L21" i="11"/>
  <c r="M20" i="11"/>
  <c r="L20" i="11"/>
  <c r="M19" i="11"/>
  <c r="L19" i="11"/>
  <c r="M18" i="11"/>
  <c r="L18" i="11"/>
  <c r="M17" i="11"/>
  <c r="L17" i="11"/>
  <c r="M16" i="11"/>
  <c r="L16" i="11"/>
  <c r="M15" i="11"/>
  <c r="L15" i="11"/>
  <c r="M14" i="11"/>
  <c r="L14" i="11"/>
  <c r="M13" i="11"/>
  <c r="L13" i="11"/>
  <c r="M12" i="11"/>
  <c r="L12" i="11"/>
  <c r="M11" i="11"/>
  <c r="L11" i="11"/>
  <c r="M10" i="11"/>
  <c r="L10" i="11"/>
  <c r="M9" i="11"/>
  <c r="L9" i="11"/>
  <c r="M8" i="11"/>
  <c r="L8" i="11"/>
  <c r="M7" i="11"/>
  <c r="L7" i="11"/>
  <c r="M6" i="11"/>
  <c r="L6" i="11"/>
  <c r="M5" i="11"/>
  <c r="L5" i="11"/>
  <c r="M4" i="11"/>
  <c r="L4" i="11"/>
  <c r="M3" i="11"/>
  <c r="L3" i="11"/>
  <c r="M2" i="11"/>
  <c r="L2" i="11"/>
  <c r="N2" i="9" l="1"/>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M36" i="9"/>
  <c r="L36" i="9"/>
  <c r="M35" i="9"/>
  <c r="L35" i="9"/>
  <c r="M34" i="9"/>
  <c r="L34" i="9"/>
  <c r="M33" i="9"/>
  <c r="L33" i="9"/>
  <c r="M32" i="9"/>
  <c r="L32" i="9"/>
  <c r="M31" i="9"/>
  <c r="L31" i="9"/>
  <c r="M30" i="9"/>
  <c r="L30" i="9"/>
  <c r="M29" i="9"/>
  <c r="L29" i="9"/>
  <c r="M28" i="9"/>
  <c r="L28" i="9"/>
  <c r="M27" i="9"/>
  <c r="L27" i="9"/>
  <c r="M26" i="9"/>
  <c r="L26" i="9"/>
  <c r="M25" i="9"/>
  <c r="L25" i="9"/>
  <c r="M24" i="9"/>
  <c r="L24" i="9"/>
  <c r="M23" i="9"/>
  <c r="L23" i="9"/>
  <c r="M22" i="9"/>
  <c r="L22" i="9"/>
  <c r="M21" i="9"/>
  <c r="L21" i="9"/>
  <c r="M20" i="9"/>
  <c r="L20" i="9"/>
  <c r="M19" i="9"/>
  <c r="L19" i="9"/>
  <c r="M18" i="9"/>
  <c r="L18" i="9"/>
  <c r="M17" i="9"/>
  <c r="L17" i="9"/>
  <c r="M16" i="9"/>
  <c r="L16" i="9"/>
  <c r="M15" i="9"/>
  <c r="L15" i="9"/>
  <c r="M14" i="9"/>
  <c r="L14" i="9"/>
  <c r="M13" i="9"/>
  <c r="L13" i="9"/>
  <c r="M12" i="9"/>
  <c r="L12" i="9"/>
  <c r="M11" i="9"/>
  <c r="L11" i="9"/>
  <c r="M10" i="9"/>
  <c r="L10" i="9"/>
  <c r="M9" i="9"/>
  <c r="L9" i="9"/>
  <c r="M8" i="9"/>
  <c r="L8" i="9"/>
  <c r="M7" i="9"/>
  <c r="L7" i="9"/>
  <c r="M6" i="9"/>
  <c r="L6" i="9"/>
  <c r="M5" i="9"/>
  <c r="L5" i="9"/>
  <c r="M4" i="9"/>
  <c r="L4" i="9"/>
  <c r="M3" i="9"/>
  <c r="L3" i="9"/>
  <c r="M2" i="9"/>
  <c r="L2" i="9"/>
  <c r="M36" i="5" l="1"/>
  <c r="M16" i="5"/>
  <c r="M35" i="5"/>
  <c r="M34" i="5"/>
  <c r="M15" i="5"/>
  <c r="M14" i="5"/>
  <c r="M33" i="5"/>
  <c r="M32" i="5"/>
  <c r="M31" i="5"/>
  <c r="M30" i="5"/>
  <c r="M13" i="5"/>
  <c r="M29" i="5"/>
  <c r="M28" i="5"/>
  <c r="M27" i="5"/>
  <c r="M26" i="5"/>
  <c r="M12" i="5"/>
  <c r="M25" i="5"/>
  <c r="M24" i="5"/>
  <c r="M23" i="5"/>
  <c r="M22" i="5"/>
  <c r="M21" i="5"/>
  <c r="M20" i="5"/>
  <c r="M19" i="5"/>
  <c r="M11" i="5"/>
  <c r="M10" i="5"/>
  <c r="M9" i="5"/>
  <c r="M8" i="5"/>
  <c r="M18" i="5"/>
  <c r="M17" i="5"/>
  <c r="M7" i="5"/>
  <c r="M6" i="5"/>
  <c r="M5" i="5"/>
  <c r="M4" i="5"/>
  <c r="M3" i="5"/>
  <c r="M2" i="5"/>
  <c r="L36" i="5"/>
  <c r="L16" i="5"/>
  <c r="L35" i="5"/>
  <c r="L34" i="5"/>
  <c r="L15" i="5"/>
  <c r="L14" i="5"/>
  <c r="L33" i="5"/>
  <c r="L32" i="5"/>
  <c r="L31" i="5"/>
  <c r="L30" i="5"/>
  <c r="L13" i="5"/>
  <c r="L29" i="5"/>
  <c r="L28" i="5"/>
  <c r="L27" i="5"/>
  <c r="L26" i="5"/>
  <c r="L12" i="5"/>
  <c r="L25" i="5"/>
  <c r="L24" i="5"/>
  <c r="L23" i="5"/>
  <c r="L22" i="5"/>
  <c r="L21" i="5"/>
  <c r="L20" i="5"/>
  <c r="L19" i="5"/>
  <c r="L11" i="5"/>
  <c r="L10" i="5"/>
  <c r="L9" i="5"/>
  <c r="L8" i="5"/>
  <c r="L18" i="5"/>
  <c r="L17" i="5"/>
  <c r="L7" i="5"/>
  <c r="L6" i="5"/>
  <c r="L5" i="5"/>
  <c r="L4" i="5"/>
  <c r="L3" i="5"/>
  <c r="L2" i="5"/>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DCCD0E-E8CA-4D9B-B8A2-996E6C390BC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5BFDB66-80EB-4443-8AD5-0ABD5178942B}" name="WorksheetConnection_Advanced_Fitness_Members_India.xlsx!Table1345" type="102" refreshedVersion="6" minRefreshableVersion="5">
    <extLst>
      <ext xmlns:x15="http://schemas.microsoft.com/office/spreadsheetml/2010/11/main" uri="{DE250136-89BD-433C-8126-D09CA5730AF9}">
        <x15:connection id="Table1345" autoDelete="1">
          <x15:rangePr sourceName="_xlcn.WorksheetConnection_Advanced_Fitness_Members_India.xlsxTable13451"/>
        </x15:connection>
      </ext>
    </extLst>
  </connection>
</connections>
</file>

<file path=xl/sharedStrings.xml><?xml version="1.0" encoding="utf-8"?>
<sst xmlns="http://schemas.openxmlformats.org/spreadsheetml/2006/main" count="1528" uniqueCount="124">
  <si>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</si>
  <si>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</si>
  <si>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</si>
  <si>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</si>
  <si>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</si>
  <si>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</si>
  <si>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</si>
  <si>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</si>
  <si>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</si>
  <si>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</si>
  <si>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</si>
  <si>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</si>
  <si>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</si>
  <si>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</si>
  <si>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</si>
  <si>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</si>
  <si>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</si>
  <si>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</si>
  <si>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</si>
  <si>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</si>
  <si>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</si>
  <si>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</si>
  <si>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</si>
  <si>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</si>
  <si>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</si>
  <si>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</si>
  <si>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</si>
  <si>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</si>
  <si>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</si>
  <si>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</si>
  <si>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</si>
  <si>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</si>
  <si>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</si>
  <si>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</si>
  <si>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</si>
  <si>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</si>
  <si>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</si>
  <si>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</si>
  <si>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</si>
  <si>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</si>
  <si>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</si>
  <si>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</si>
  <si>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</si>
  <si>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</si>
  <si>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</si>
  <si>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</si>
  <si>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</si>
  <si>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</si>
  <si>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</si>
  <si>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</si>
  <si>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</si>
  <si>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</si>
  <si>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</si>
  <si>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</si>
  <si>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</si>
  <si>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</si>
  <si>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</si>
  <si>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</si>
  <si>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</si>
  <si>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</si>
  <si>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</si>
  <si>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</si>
  <si>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</si>
  <si>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</si>
  <si>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</si>
  <si>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</si>
  <si>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</si>
  <si>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</si>
  <si>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</si>
  <si>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</si>
  <si>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</si>
  <si>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</si>
  <si>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</si>
  <si>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</si>
  <si>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</si>
  <si>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</si>
  <si>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</si>
  <si>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</si>
  <si>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</si>
  <si>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</si>
  <si>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</si>
  <si>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</si>
  <si>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</si>
  <si>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</si>
  <si>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</si>
  <si>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</si>
  <si>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</si>
  <si>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</si>
  <si>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</si>
  <si>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</si>
  <si>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</si>
  <si>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</si>
  <si>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</si>
  <si>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</si>
  <si>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</si>
  <si>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</si>
  <si>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</si>
  <si>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</si>
  <si>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</si>
  <si>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</si>
  <si>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</si>
  <si>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</si>
  <si>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</si>
  <si>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</si>
  <si>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</si>
  <si>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</si>
  <si>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</si>
  <si>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Column1</t>
  </si>
  <si>
    <t>Membership_Duration_Months</t>
  </si>
  <si>
    <t>Referred</t>
  </si>
  <si>
    <t>Row Labels</t>
  </si>
  <si>
    <t>Grand Total</t>
  </si>
  <si>
    <t>NO</t>
  </si>
  <si>
    <t>YES</t>
  </si>
  <si>
    <t>Average of Monthly_Fee</t>
  </si>
  <si>
    <t>Total_Revenue</t>
  </si>
  <si>
    <t>Column Labels</t>
  </si>
  <si>
    <t>Sum of Total_Revenue</t>
  </si>
  <si>
    <t>Average of Total_Revenue</t>
  </si>
  <si>
    <t>Age Type</t>
  </si>
  <si>
    <t>Count of Column1</t>
  </si>
  <si>
    <t>Adult</t>
  </si>
  <si>
    <t>Senior</t>
  </si>
  <si>
    <t>Youth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</si>
</sst>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scheme val="minor"/>
    </font>
    <font>
      <b/>
      <sz val="11"/>
      <color theme="1"/>
      <name val="Calibri"/>
    </font>
    <font>
      <sz val="11"/>
      <color theme="1"/>
      <name val="Calibri"/>
      <scheme val="minor"/>
    </font>
    <font>
      <sz val="11"/>
      <color theme="1"/>
      <name val="Calibri"/>
    </font>
    <font>
      <sz val="11"/>
      <color rgb="FF000000"/>
      <name val="Calibri"/>
    </font>
    <font>
      <sz val="11"/>
      <color rgb="FF000000"/>
      <name val="Calibri"/>
      <family val="2"/>
    </font>
    <font>
      <b/>
      <sz val="11"/>
      <color theme="1"/>
      <name val="Calibri"/>
      <family val="2"/>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applyFont="1" applyAlignment="1"/>
    <xf numFmtId="0" fontId="1" fillId="0" borderId="1" xfId="0" applyFont="1" applyBorder="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0" fillId="0" borderId="0" xfId="0" applyFont="1" applyAlignment="1">
      <alignment horizontal="left" vertical="center"/>
    </xf>
    <xf numFmtId="3" fontId="4" fillId="0" borderId="0" xfId="0" applyNumberFormat="1" applyFont="1" applyAlignment="1">
      <alignment horizontal="left" vertical="center"/>
    </xf>
    <xf numFmtId="0" fontId="5" fillId="0" borderId="0" xfId="0" applyFont="1" applyAlignment="1">
      <alignment horizontal="left" vertical="center"/>
    </xf>
    <xf numFmtId="0" fontId="6" fillId="0" borderId="1" xfId="0" applyFont="1" applyBorder="1" applyAlignment="1">
      <alignment horizontal="left" vertical="center"/>
    </xf>
    <xf numFmtId="0" fontId="0" fillId="0" borderId="0" xfId="0" pivotButton="1" applyFont="1" applyAlignment="1"/>
    <xf numFmtId="0" fontId="0" fillId="0" borderId="0" xfId="0" applyFont="1" applyAlignment="1">
      <alignment horizontal="left"/>
    </xf>
    <xf numFmtId="2" fontId="0" fillId="0" borderId="0" xfId="0" applyNumberFormat="1" applyFont="1" applyAlignment="1"/>
    <xf numFmtId="0" fontId="4" fillId="0" borderId="0" xfId="0" applyFont="1" applyAlignment="1">
      <alignment horizontal="left" vertical="center"/>
    </xf>
    <xf numFmtId="0" fontId="0" fillId="0" borderId="0" xfId="0" pivotButton="1" applyFont="1" applyAlignment="1">
      <alignment horizontal="center"/>
    </xf>
    <xf numFmtId="0" fontId="0" fillId="0" borderId="0" xfId="0" applyFont="1" applyAlignment="1">
      <alignment horizontal="center"/>
    </xf>
    <xf numFmtId="0" fontId="0" fillId="0" borderId="0" xfId="0" applyNumberFormat="1" applyFont="1" applyAlignment="1">
      <alignment horizontal="center"/>
    </xf>
    <xf numFmtId="3" fontId="4" fillId="0" borderId="0" xfId="0" applyNumberFormat="1" applyFont="1" applyAlignment="1">
      <alignment horizontal="center" vertical="center"/>
    </xf>
    <xf numFmtId="0" fontId="0" fillId="0" borderId="0" xfId="0" applyFont="1" applyAlignment="1">
      <alignment horizontal="left" indent="1"/>
    </xf>
    <xf numFmtId="0" fontId="0" fillId="0" borderId="0" xfId="0" pivotButton="1" applyFont="1" applyAlignment="1">
      <alignment horizontal="center"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0" fontId="7" fillId="2" borderId="0" xfId="0" applyNumberFormat="1" applyFont="1" applyFill="1" applyAlignment="1">
      <alignment horizontal="center" vertical="center"/>
    </xf>
    <xf numFmtId="0" fontId="0" fillId="0" borderId="0" xfId="0" applyFont="1" applyAlignment="1">
      <alignment horizontal="center" vertical="center" indent="1"/>
    </xf>
    <xf numFmtId="0" fontId="7" fillId="2" borderId="0" xfId="0" applyFont="1" applyFill="1" applyAlignment="1">
      <alignment horizontal="center" vertical="center" indent="1"/>
    </xf>
    <xf numFmtId="0" fontId="0" fillId="0" borderId="0" xfId="0" applyNumberFormat="1" applyFont="1" applyAlignment="1"/>
  </cellXfs>
  <cellStyles count="1">
    <cellStyle name="Normal" xfId="0" builtinId="0"/>
  </cellStyles>
  <dxfs count="918">
    <dxf>
      <alignment horizontal="center"/>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bottom style="thin">
          <color rgb="FF000000"/>
        </bottom>
      </border>
    </dxf>
    <dxf>
      <border outline="0">
        <top style="thin">
          <color rgb="FF000000"/>
        </top>
      </border>
    </dxf>
    <dxf>
      <font>
        <b val="0"/>
        <i val="0"/>
        <strike val="0"/>
        <condense val="0"/>
        <extend val="0"/>
        <outline val="0"/>
        <shadow val="0"/>
        <u val="none"/>
        <vertAlign val="baseline"/>
        <sz val="11"/>
        <color rgb="FF000000"/>
        <name val="Calibri"/>
        <scheme val="none"/>
      </font>
      <alignment horizontal="left" vertical="center" textRotation="0" wrapText="0" indent="0" justifyLastLine="0" shrinkToFit="0" readingOrder="0"/>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font>
      <numFmt numFmtId="0" formatCode="General"/>
      <fill>
        <patternFill>
          <bgColor rgb="FF92D050"/>
        </patternFill>
      </fill>
    </dxf>
    <dxf>
      <font>
        <color rgb="FF9C0006"/>
      </font>
      <fill>
        <patternFill>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center"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ill>
        <patternFill patternType="solid">
          <fgColor rgb="FF92D050"/>
          <bgColor rgb="FF000000"/>
        </patternFill>
      </fill>
    </dxf>
    <dxf>
      <border outline="0">
        <top style="thin">
          <color rgb="FF000000"/>
        </top>
      </border>
    </dxf>
    <dxf>
      <font>
        <b val="0"/>
        <i val="0"/>
        <strike val="0"/>
        <condense val="0"/>
        <extend val="0"/>
        <outline val="0"/>
        <shadow val="0"/>
        <u val="none"/>
        <vertAlign val="baseline"/>
        <sz val="11"/>
        <color rgb="FF000000"/>
        <name val="Calibri"/>
        <scheme val="none"/>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center"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Calibri"/>
        <scheme val="none"/>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Calibri"/>
        <scheme val="none"/>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3" formatCode="#,##0"/>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Calibri"/>
        <scheme val="none"/>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scheme val="none"/>
      </font>
      <numFmt numFmtId="3" formatCode="#,##0"/>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rgb="FF000000"/>
        <name val="Calibri"/>
        <scheme val="none"/>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mm\-dd"/>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[Advanced_Fitness_Members_India.xlsx]5!PivotTable2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'5'!$B$3:$B$4</c:f>
              <c:strCache>
                <c:ptCount val="1"/>
                <c:pt idx="0">
                  <c:v>NO</c:v>
                </c:pt>
              </c:strCache>
            </c:strRef>
          </c:tx>
          <c:spPr>
            <a:solidFill>
              <a:schemeClr val="accent1"/>
            </a:solidFill>
            <a:ln>
              <a:noFill/>
            </a:ln>
            <a:effectLst/>
          </c:spPr>
          <c:invertIfNegative val="0"/>
          <c:cat>
            <c:multiLvlStrRef>
              <c:f>'5'!$A$5:$A$33</c:f>
              <c:multiLvlStrCache>
                <c:ptCount val="22"/>
                <c:lvl>
                  <c:pt idx="0">
                    <c:v>Basic</c:v>
                  </c:pt>
                  <c:pt idx="1">
                    <c:v>Premium</c:v>
                  </c:pt>
                  <c:pt idx="2">
                    <c:v>Standard</c:v>
                  </c:pt>
                  <c:pt idx="3">
                    <c:v>Basic</c:v>
                  </c:pt>
                  <c:pt idx="4">
                    <c:v>Family</c:v>
                  </c:pt>
                  <c:pt idx="5">
                    <c:v>Premium</c:v>
                  </c:pt>
                  <c:pt idx="6">
                    <c:v>Standard</c:v>
                  </c:pt>
                  <c:pt idx="7">
                    <c:v>Basic</c:v>
                  </c:pt>
                  <c:pt idx="8">
                    <c:v>Family</c:v>
                  </c:pt>
                  <c:pt idx="9">
                    <c:v>Premium</c:v>
                  </c:pt>
                  <c:pt idx="10">
                    <c:v>Standard</c:v>
                  </c:pt>
                  <c:pt idx="11">
                    <c:v>Basic</c:v>
                  </c:pt>
                  <c:pt idx="12">
                    <c:v>Family</c:v>
                  </c:pt>
                  <c:pt idx="13">
                    <c:v>Standard</c:v>
                  </c:pt>
                  <c:pt idx="14">
                    <c:v>Basic</c:v>
                  </c:pt>
                  <c:pt idx="15">
                    <c:v>Family</c:v>
                  </c:pt>
                  <c:pt idx="16">
                    <c:v>Premium</c:v>
                  </c:pt>
                  <c:pt idx="17">
                    <c:v>Standard</c:v>
                  </c:pt>
                  <c:pt idx="18">
                    <c:v>Basic</c:v>
                  </c:pt>
                  <c:pt idx="19">
                    <c:v>Family</c:v>
                  </c:pt>
                  <c:pt idx="20">
                    <c:v>Premium</c:v>
                  </c:pt>
                  <c:pt idx="21">
                    <c:v>Standard</c:v>
                  </c:pt>
                </c:lvl>
                <c:lvl>
                  <c:pt idx="0">
                    <c:v>Pune</c:v>
                  </c:pt>
                  <c:pt idx="3">
                    <c:v>Mumbai</c:v>
                  </c:pt>
                  <c:pt idx="7">
                    <c:v>Kolkata</c:v>
                  </c:pt>
                  <c:pt idx="11">
                    <c:v>Hyderabad</c:v>
                  </c:pt>
                  <c:pt idx="14">
                    <c:v>Delhi</c:v>
                  </c:pt>
                  <c:pt idx="18">
                    <c:v>Bengaluru</c:v>
                  </c:pt>
                </c:lvl>
              </c:multiLvlStrCache>
            </c:multiLvlStrRef>
          </c:cat>
          <c:val>
            <c:numRef>
              <c:f>'5'!$B$5:$B$33</c:f>
              <c:numCache>
                <c:formatCode>General</c:formatCode>
                <c:ptCount val="22"/>
                <c:pt idx="0">
                  <c:v>1600</c:v>
                </c:pt>
                <c:pt idx="2">
                  <c:v>14400</c:v>
                </c:pt>
                <c:pt idx="3">
                  <c:v>8800</c:v>
                </c:pt>
                <c:pt idx="4">
                  <c:v>0</c:v>
                </c:pt>
                <c:pt idx="5">
                  <c:v>30600</c:v>
                </c:pt>
                <c:pt idx="6">
                  <c:v>14400</c:v>
                </c:pt>
                <c:pt idx="8">
                  <c:v>2500</c:v>
                </c:pt>
                <c:pt idx="9">
                  <c:v>9000</c:v>
                </c:pt>
                <c:pt idx="11">
                  <c:v>4800</c:v>
                </c:pt>
                <c:pt idx="12">
                  <c:v>0</c:v>
                </c:pt>
                <c:pt idx="13">
                  <c:v>13200</c:v>
                </c:pt>
                <c:pt idx="15">
                  <c:v>35000</c:v>
                </c:pt>
                <c:pt idx="16">
                  <c:v>0</c:v>
                </c:pt>
                <c:pt idx="17">
                  <c:v>0</c:v>
                </c:pt>
                <c:pt idx="20">
                  <c:v>16200</c:v>
                </c:pt>
                <c:pt idx="21">
                  <c:v>10800</c:v>
                </c:pt>
              </c:numCache>
            </c:numRef>
          </c:val>
          <c:extLst>
            <c:ext xmlns:c16="http://schemas.microsoft.com/office/drawing/2014/chart" uri="{C3380CC4-5D6E-409C-BE32-E72D297353CC}">
              <c16:uniqueId val="{00000000-3568-4D4A-A92E-28F5654FDAAC}"/>
            </c:ext>
          </c:extLst>
        </c:ser>
        <c:ser>
          <c:idx val="1"/>
          <c:order val="1"/>
          <c:tx>
            <c:strRef>
              <c:f>'5'!$C$3:$C$4</c:f>
              <c:strCache>
                <c:ptCount val="1"/>
                <c:pt idx="0">
                  <c:v>YES</c:v>
                </c:pt>
              </c:strCache>
            </c:strRef>
          </c:tx>
          <c:spPr>
            <a:solidFill>
              <a:schemeClr val="accent2"/>
            </a:solidFill>
            <a:ln>
              <a:noFill/>
            </a:ln>
            <a:effectLst/>
          </c:spPr>
          <c:invertIfNegative val="0"/>
          <c:cat>
            <c:multiLvlStrRef>
              <c:f>'5'!$A$5:$A$33</c:f>
              <c:multiLvlStrCache>
                <c:ptCount val="22"/>
                <c:lvl>
                  <c:pt idx="0">
                    <c:v>Basic</c:v>
                  </c:pt>
                  <c:pt idx="1">
                    <c:v>Premium</c:v>
                  </c:pt>
                  <c:pt idx="2">
                    <c:v>Standard</c:v>
                  </c:pt>
                  <c:pt idx="3">
                    <c:v>Basic</c:v>
                  </c:pt>
                  <c:pt idx="4">
                    <c:v>Family</c:v>
                  </c:pt>
                  <c:pt idx="5">
                    <c:v>Premium</c:v>
                  </c:pt>
                  <c:pt idx="6">
                    <c:v>Standard</c:v>
                  </c:pt>
                  <c:pt idx="7">
                    <c:v>Basic</c:v>
                  </c:pt>
                  <c:pt idx="8">
                    <c:v>Family</c:v>
                  </c:pt>
                  <c:pt idx="9">
                    <c:v>Premium</c:v>
                  </c:pt>
                  <c:pt idx="10">
                    <c:v>Standard</c:v>
                  </c:pt>
                  <c:pt idx="11">
                    <c:v>Basic</c:v>
                  </c:pt>
                  <c:pt idx="12">
                    <c:v>Family</c:v>
                  </c:pt>
                  <c:pt idx="13">
                    <c:v>Standard</c:v>
                  </c:pt>
                  <c:pt idx="14">
                    <c:v>Basic</c:v>
                  </c:pt>
                  <c:pt idx="15">
                    <c:v>Family</c:v>
                  </c:pt>
                  <c:pt idx="16">
                    <c:v>Premium</c:v>
                  </c:pt>
                  <c:pt idx="17">
                    <c:v>Standard</c:v>
                  </c:pt>
                  <c:pt idx="18">
                    <c:v>Basic</c:v>
                  </c:pt>
                  <c:pt idx="19">
                    <c:v>Family</c:v>
                  </c:pt>
                  <c:pt idx="20">
                    <c:v>Premium</c:v>
                  </c:pt>
                  <c:pt idx="21">
                    <c:v>Standard</c:v>
                  </c:pt>
                </c:lvl>
                <c:lvl>
                  <c:pt idx="0">
                    <c:v>Pune</c:v>
                  </c:pt>
                  <c:pt idx="3">
                    <c:v>Mumbai</c:v>
                  </c:pt>
                  <c:pt idx="7">
                    <c:v>Kolkata</c:v>
                  </c:pt>
                  <c:pt idx="11">
                    <c:v>Hyderabad</c:v>
                  </c:pt>
                  <c:pt idx="14">
                    <c:v>Delhi</c:v>
                  </c:pt>
                  <c:pt idx="18">
                    <c:v>Bengaluru</c:v>
                  </c:pt>
                </c:lvl>
              </c:multiLvlStrCache>
            </c:multiLvlStrRef>
          </c:cat>
          <c:val>
            <c:numRef>
              <c:f>'5'!$C$5:$C$33</c:f>
              <c:numCache>
                <c:formatCode>General</c:formatCode>
                <c:ptCount val="22"/>
                <c:pt idx="0">
                  <c:v>0</c:v>
                </c:pt>
                <c:pt idx="1">
                  <c:v>7200</c:v>
                </c:pt>
                <c:pt idx="3">
                  <c:v>1600</c:v>
                </c:pt>
                <c:pt idx="4">
                  <c:v>15000</c:v>
                </c:pt>
                <c:pt idx="5">
                  <c:v>3600</c:v>
                </c:pt>
                <c:pt idx="6">
                  <c:v>2400</c:v>
                </c:pt>
                <c:pt idx="7">
                  <c:v>0</c:v>
                </c:pt>
                <c:pt idx="8">
                  <c:v>5000</c:v>
                </c:pt>
                <c:pt idx="10">
                  <c:v>15600</c:v>
                </c:pt>
                <c:pt idx="13">
                  <c:v>10800</c:v>
                </c:pt>
                <c:pt idx="14">
                  <c:v>14400</c:v>
                </c:pt>
                <c:pt idx="18">
                  <c:v>4800</c:v>
                </c:pt>
                <c:pt idx="19">
                  <c:v>17500</c:v>
                </c:pt>
                <c:pt idx="21">
                  <c:v>6000</c:v>
                </c:pt>
              </c:numCache>
            </c:numRef>
          </c:val>
          <c:extLst>
            <c:ext xmlns:c16="http://schemas.microsoft.com/office/drawing/2014/chart" uri="{C3380CC4-5D6E-409C-BE32-E72D297353CC}">
              <c16:uniqueId val="{00000001-3568-4D4A-A92E-28F5654FDAAC}"/>
            </c:ext>
          </c:extLst>
        </c:ser>
        <c:dLbls>
          <c:showLegendKey val="0"/>
          <c:showVal val="0"/>
          <c:showCatName val="0"/>
          <c:showSerName val="0"/>
          <c:showPercent val="0"/>
          <c:showBubbleSize val="0"/>
        </c:dLbls>
        <c:gapWidth val="219"/>
        <c:overlap val="-27"/>
        <c:axId val="1722331648"/>
        <c:axId val="1733407008"/>
      </c:barChart>
      <c:catAx>
        <c:axId val="17223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07008"/>
        <c:crosses val="autoZero"/>
        <c:auto val="1"/>
        <c:lblAlgn val="ctr"/>
        <c:lblOffset val="100"/>
        <c:noMultiLvlLbl val="0"/>
      </c:catAx>
      <c:valAx>
        <c:axId val="173340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33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[Advanced_Fitness_Members_India.xlsx]5!PivotTable3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'5'!$G$3:$G$4</c:f>
              <c:strCache>
                <c:ptCount val="1"/>
                <c:pt idx="0">
                  <c:v>NO</c:v>
                </c:pt>
              </c:strCache>
            </c:strRef>
          </c:tx>
          <c:spPr>
            <a:solidFill>
              <a:schemeClr val="accent1"/>
            </a:solidFill>
            <a:ln>
              <a:noFill/>
            </a:ln>
            <a:effectLst/>
          </c:spPr>
          <c:invertIfNegative val="0"/>
          <c:cat>
            <c:multiLvlStrRef>
              <c:f>'5'!$F$5:$F$33</c:f>
              <c:multiLvlStrCache>
                <c:ptCount val="22"/>
                <c:lvl>
                  <c:pt idx="0">
                    <c:v>Basic</c:v>
                  </c:pt>
                  <c:pt idx="1">
                    <c:v>Family</c:v>
                  </c:pt>
                  <c:pt idx="2">
                    <c:v>Premium</c:v>
                  </c:pt>
                  <c:pt idx="3">
                    <c:v>Standard</c:v>
                  </c:pt>
                  <c:pt idx="4">
                    <c:v>Basic</c:v>
                  </c:pt>
                  <c:pt idx="5">
                    <c:v>Family</c:v>
                  </c:pt>
                  <c:pt idx="6">
                    <c:v>Premium</c:v>
                  </c:pt>
                  <c:pt idx="7">
                    <c:v>Standard</c:v>
                  </c:pt>
                  <c:pt idx="8">
                    <c:v>Basic</c:v>
                  </c:pt>
                  <c:pt idx="9">
                    <c:v>Family</c:v>
                  </c:pt>
                  <c:pt idx="10">
                    <c:v>Standard</c:v>
                  </c:pt>
                  <c:pt idx="11">
                    <c:v>Basic</c:v>
                  </c:pt>
                  <c:pt idx="12">
                    <c:v>Family</c:v>
                  </c:pt>
                  <c:pt idx="13">
                    <c:v>Premium</c:v>
                  </c:pt>
                  <c:pt idx="14">
                    <c:v>Standard</c:v>
                  </c:pt>
                  <c:pt idx="15">
                    <c:v>Basic</c:v>
                  </c:pt>
                  <c:pt idx="16">
                    <c:v>Family</c:v>
                  </c:pt>
                  <c:pt idx="17">
                    <c:v>Premium</c:v>
                  </c:pt>
                  <c:pt idx="18">
                    <c:v>Standard</c:v>
                  </c:pt>
                  <c:pt idx="19">
                    <c:v>Basic</c:v>
                  </c:pt>
                  <c:pt idx="20">
                    <c:v>Premium</c:v>
                  </c:pt>
                  <c:pt idx="21">
                    <c:v>Standard</c:v>
                  </c:pt>
                </c:lvl>
                <c:lvl>
                  <c:pt idx="0">
                    <c:v>Bengaluru</c:v>
                  </c:pt>
                  <c:pt idx="4">
                    <c:v>Delhi</c:v>
                  </c:pt>
                  <c:pt idx="8">
                    <c:v>Hyderabad</c:v>
                  </c:pt>
                  <c:pt idx="11">
                    <c:v>Kolkata</c:v>
                  </c:pt>
                  <c:pt idx="15">
                    <c:v>Mumbai</c:v>
                  </c:pt>
                  <c:pt idx="19">
                    <c:v>Pune</c:v>
                  </c:pt>
                </c:lvl>
              </c:multiLvlStrCache>
            </c:multiLvlStrRef>
          </c:cat>
          <c:val>
            <c:numRef>
              <c:f>'5'!$G$5:$G$33</c:f>
              <c:numCache>
                <c:formatCode>General</c:formatCode>
                <c:ptCount val="22"/>
                <c:pt idx="2">
                  <c:v>16200</c:v>
                </c:pt>
                <c:pt idx="3">
                  <c:v>10800</c:v>
                </c:pt>
                <c:pt idx="5">
                  <c:v>35000</c:v>
                </c:pt>
                <c:pt idx="6">
                  <c:v>0</c:v>
                </c:pt>
                <c:pt idx="7">
                  <c:v>0</c:v>
                </c:pt>
                <c:pt idx="8">
                  <c:v>4800</c:v>
                </c:pt>
                <c:pt idx="9">
                  <c:v>0</c:v>
                </c:pt>
                <c:pt idx="10">
                  <c:v>13200</c:v>
                </c:pt>
                <c:pt idx="12">
                  <c:v>2500</c:v>
                </c:pt>
                <c:pt idx="13">
                  <c:v>4500</c:v>
                </c:pt>
                <c:pt idx="15">
                  <c:v>4400</c:v>
                </c:pt>
                <c:pt idx="16">
                  <c:v>0</c:v>
                </c:pt>
                <c:pt idx="17">
                  <c:v>30600</c:v>
                </c:pt>
                <c:pt idx="18">
                  <c:v>7200</c:v>
                </c:pt>
                <c:pt idx="19">
                  <c:v>1600</c:v>
                </c:pt>
                <c:pt idx="21">
                  <c:v>7200</c:v>
                </c:pt>
              </c:numCache>
            </c:numRef>
          </c:val>
          <c:extLst>
            <c:ext xmlns:c16="http://schemas.microsoft.com/office/drawing/2014/chart" uri="{C3380CC4-5D6E-409C-BE32-E72D297353CC}">
              <c16:uniqueId val="{00000000-F811-4B21-9094-D106B540C1B7}"/>
            </c:ext>
          </c:extLst>
        </c:ser>
        <c:ser>
          <c:idx val="1"/>
          <c:order val="1"/>
          <c:tx>
            <c:strRef>
              <c:f>'5'!$H$3:$H$4</c:f>
              <c:strCache>
                <c:ptCount val="1"/>
                <c:pt idx="0">
                  <c:v>YES</c:v>
                </c:pt>
              </c:strCache>
            </c:strRef>
          </c:tx>
          <c:spPr>
            <a:solidFill>
              <a:schemeClr val="accent2"/>
            </a:solidFill>
            <a:ln>
              <a:noFill/>
            </a:ln>
            <a:effectLst/>
          </c:spPr>
          <c:invertIfNegative val="0"/>
          <c:cat>
            <c:multiLvlStrRef>
              <c:f>'5'!$F$5:$F$33</c:f>
              <c:multiLvlStrCache>
                <c:ptCount val="22"/>
                <c:lvl>
                  <c:pt idx="0">
                    <c:v>Basic</c:v>
                  </c:pt>
                  <c:pt idx="1">
                    <c:v>Family</c:v>
                  </c:pt>
                  <c:pt idx="2">
                    <c:v>Premium</c:v>
                  </c:pt>
                  <c:pt idx="3">
                    <c:v>Standard</c:v>
                  </c:pt>
                  <c:pt idx="4">
                    <c:v>Basic</c:v>
                  </c:pt>
                  <c:pt idx="5">
                    <c:v>Family</c:v>
                  </c:pt>
                  <c:pt idx="6">
                    <c:v>Premium</c:v>
                  </c:pt>
                  <c:pt idx="7">
                    <c:v>Standard</c:v>
                  </c:pt>
                  <c:pt idx="8">
                    <c:v>Basic</c:v>
                  </c:pt>
                  <c:pt idx="9">
                    <c:v>Family</c:v>
                  </c:pt>
                  <c:pt idx="10">
                    <c:v>Standard</c:v>
                  </c:pt>
                  <c:pt idx="11">
                    <c:v>Basic</c:v>
                  </c:pt>
                  <c:pt idx="12">
                    <c:v>Family</c:v>
                  </c:pt>
                  <c:pt idx="13">
                    <c:v>Premium</c:v>
                  </c:pt>
                  <c:pt idx="14">
                    <c:v>Standard</c:v>
                  </c:pt>
                  <c:pt idx="15">
                    <c:v>Basic</c:v>
                  </c:pt>
                  <c:pt idx="16">
                    <c:v>Family</c:v>
                  </c:pt>
                  <c:pt idx="17">
                    <c:v>Premium</c:v>
                  </c:pt>
                  <c:pt idx="18">
                    <c:v>Standard</c:v>
                  </c:pt>
                  <c:pt idx="19">
                    <c:v>Basic</c:v>
                  </c:pt>
                  <c:pt idx="20">
                    <c:v>Premium</c:v>
                  </c:pt>
                  <c:pt idx="21">
                    <c:v>Standard</c:v>
                  </c:pt>
                </c:lvl>
                <c:lvl>
                  <c:pt idx="0">
                    <c:v>Bengaluru</c:v>
                  </c:pt>
                  <c:pt idx="4">
                    <c:v>Delhi</c:v>
                  </c:pt>
                  <c:pt idx="8">
                    <c:v>Hyderabad</c:v>
                  </c:pt>
                  <c:pt idx="11">
                    <c:v>Kolkata</c:v>
                  </c:pt>
                  <c:pt idx="15">
                    <c:v>Mumbai</c:v>
                  </c:pt>
                  <c:pt idx="19">
                    <c:v>Pune</c:v>
                  </c:pt>
                </c:lvl>
              </c:multiLvlStrCache>
            </c:multiLvlStrRef>
          </c:cat>
          <c:val>
            <c:numRef>
              <c:f>'5'!$H$5:$H$33</c:f>
              <c:numCache>
                <c:formatCode>General</c:formatCode>
                <c:ptCount val="22"/>
                <c:pt idx="0">
                  <c:v>4800</c:v>
                </c:pt>
                <c:pt idx="1">
                  <c:v>17500</c:v>
                </c:pt>
                <c:pt idx="3">
                  <c:v>6000</c:v>
                </c:pt>
                <c:pt idx="4">
                  <c:v>14400</c:v>
                </c:pt>
                <c:pt idx="10">
                  <c:v>5400</c:v>
                </c:pt>
                <c:pt idx="11">
                  <c:v>0</c:v>
                </c:pt>
                <c:pt idx="12">
                  <c:v>5000</c:v>
                </c:pt>
                <c:pt idx="14">
                  <c:v>15600</c:v>
                </c:pt>
                <c:pt idx="15">
                  <c:v>1600</c:v>
                </c:pt>
                <c:pt idx="16">
                  <c:v>15000</c:v>
                </c:pt>
                <c:pt idx="17">
                  <c:v>3600</c:v>
                </c:pt>
                <c:pt idx="18">
                  <c:v>2400</c:v>
                </c:pt>
                <c:pt idx="19">
                  <c:v>0</c:v>
                </c:pt>
                <c:pt idx="20">
                  <c:v>7200</c:v>
                </c:pt>
              </c:numCache>
            </c:numRef>
          </c:val>
          <c:extLst>
            <c:ext xmlns:c16="http://schemas.microsoft.com/office/drawing/2014/chart" uri="{C3380CC4-5D6E-409C-BE32-E72D297353CC}">
              <c16:uniqueId val="{00000001-F811-4B21-9094-D106B540C1B7}"/>
            </c:ext>
          </c:extLst>
        </c:ser>
        <c:dLbls>
          <c:showLegendKey val="0"/>
          <c:showVal val="0"/>
          <c:showCatName val="0"/>
          <c:showSerName val="0"/>
          <c:showPercent val="0"/>
          <c:showBubbleSize val="0"/>
        </c:dLbls>
        <c:gapWidth val="219"/>
        <c:overlap val="-27"/>
        <c:axId val="1948615408"/>
        <c:axId val="1733407840"/>
      </c:barChart>
      <c:catAx>
        <c:axId val="194861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07840"/>
        <c:crosses val="autoZero"/>
        <c:auto val="1"/>
        <c:lblAlgn val="ctr"/>
        <c:lblOffset val="100"/>
        <c:noMultiLvlLbl val="0"/>
      </c:catAx>
      <c:valAx>
        <c:axId val="17334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1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314325</xdr:colOff>
      <xdr:row>19</xdr:row>
      <xdr:rowOff>161925</xdr:rowOff>
    </xdr:from>
    <xdr:to>
      <xdr:col>11</xdr:col>
      <xdr:colOff>838200</xdr:colOff>
      <xdr:row>33</xdr:row>
      <xdr:rowOff>19050</xdr:rowOff>
    </xdr:to>
    <mc:AlternateContent xmlns:mc="http://schemas.openxmlformats.org/markup-compatibility/2006">
      <mc:Choice xmlns:a14="http://schemas.microsoft.com/office/drawing/2010/main" Requires="a14">
        <xdr:graphicFrame macro="">
          <xdr:nvGraphicFramePr>
            <xdr:cNvPr id="2" name="Membership_Type">
              <a:extLst>
                <a:ext uri="{FF2B5EF4-FFF2-40B4-BE49-F238E27FC236}">
                  <a16:creationId xmlns:a16="http://schemas.microsoft.com/office/drawing/2014/main" id="{AAB5DC71-B7E6-49D4-AE9D-998E005F8C46}"/>
                </a:ext>
              </a:extLst>
            </xdr:cNvPr>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11887200" y="3781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76200</xdr:colOff>
      <xdr:row>19</xdr:row>
      <xdr:rowOff>171450</xdr:rowOff>
    </xdr:from>
    <xdr:to>
      <xdr:col>10</xdr:col>
      <xdr:colOff>257175</xdr:colOff>
      <xdr:row>33</xdr:row>
      <xdr:rowOff>28575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DEED201A-D9A9-4174-8201-B18CFCD788C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001250" y="379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952500</xdr:colOff>
      <xdr:row>19</xdr:row>
      <xdr:rowOff>180975</xdr:rowOff>
    </xdr:from>
    <xdr:to>
      <xdr:col>13</xdr:col>
      <xdr:colOff>533400</xdr:colOff>
      <xdr:row>33</xdr:row>
      <xdr:rowOff>38100</xdr:rowOff>
    </xdr:to>
    <mc:AlternateContent xmlns:mc="http://schemas.openxmlformats.org/markup-compatibility/2006">
      <mc:Choice xmlns:a14="http://schemas.microsoft.com/office/drawing/2010/main" Requires="a14">
        <xdr:graphicFrame macro="">
          <xdr:nvGraphicFramePr>
            <xdr:cNvPr id="6" name="Referred">
              <a:extLst>
                <a:ext uri="{FF2B5EF4-FFF2-40B4-BE49-F238E27FC236}">
                  <a16:creationId xmlns:a16="http://schemas.microsoft.com/office/drawing/2014/main" id="{D9B4C663-40D8-4681-9F68-8871644837B1}"/>
                </a:ext>
              </a:extLst>
            </xdr:cNvPr>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dr:sp macro="" textlink="">
          <xdr:nvSpPr>
            <xdr:cNvPr id="0" name=""/>
            <xdr:cNvSpPr>
              <a:spLocks noTextEdit="1"/>
            </xdr:cNvSpPr>
          </xdr:nvSpPr>
          <xdr:spPr>
            <a:xfrm>
              <a:off x="13830300" y="3800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34</xdr:row>
      <xdr:rowOff>28575</xdr:rowOff>
    </xdr:from>
    <xdr:to>
      <xdr:col>6</xdr:col>
      <xdr:colOff>581025</xdr:colOff>
      <xdr:row>63</xdr:row>
      <xdr:rowOff>47625</xdr:rowOff>
    </xdr:to>
    <xdr:graphicFrame macro="">
      <xdr:nvGraphicFramePr>
        <xdr:cNvPr id="7" name="Chart 6">
          <a:extLst>
            <a:ext uri="{FF2B5EF4-FFF2-40B4-BE49-F238E27FC236}">
              <a16:creationId xmlns:a16="http://schemas.microsoft.com/office/drawing/2014/main" id="{C437E5D5-28D4-403B-9251-9473336C3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xdr:colOff>
      <xdr:row>34</xdr:row>
      <xdr:rowOff>14286</xdr:rowOff>
    </xdr:from>
    <xdr:to>
      <xdr:col>15</xdr:col>
      <xdr:colOff>581025</xdr:colOff>
      <xdr:row>63</xdr:row>
      <xdr:rowOff>38099</xdr:rowOff>
    </xdr:to>
    <xdr:graphicFrame macro="">
      <xdr:nvGraphicFramePr>
        <xdr:cNvPr id="8" name="Chart 7">
          <a:extLst>
            <a:ext uri="{FF2B5EF4-FFF2-40B4-BE49-F238E27FC236}">
              <a16:creationId xmlns:a16="http://schemas.microsoft.com/office/drawing/2014/main" id="{379A2919-95A1-411F-AD92-AB8E4F532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JAN DUTTA" refreshedDate="46092.522291782407" createdVersion="6" refreshedVersion="6" minRefreshableVersion="3" recordCount="35" xr:uid="{7D2C4E03-D132-43E4-BE31-F1B14FC7F032}">
  <cacheSource type="worksheet">
    <worksheetSource name="Table134"/>
  </cacheSource>
  <cacheFields count="13">
    <cacheField name="Column1" numFmtId="0">
      <sharedItems/>
    </cacheField>
    <cacheField name="Full_Name" numFmtId="0">
      <sharedItems count="35">
        <s v="Anay Shanker"/>
        <s v="Parinaaz Shanker"/>
        <s v="Aniruddh Batra"/>
        <s v="Madhup Kapur"/>
        <s v="Rasha Kakar"/>
        <s v="Ehsaan Batra"/>
        <s v="Kashvi Char"/>
        <s v="Dhanush Varma"/>
        <s v="Ishaan Goyal"/>
        <s v="Mahika Ravi"/>
        <s v="Madhup Biswas"/>
        <s v="Tiya Rege"/>
        <s v="Taran Vyas"/>
        <s v="Jiya Baral"/>
        <s v="Hrishita Shroff"/>
        <s v="Zara Bains"/>
        <s v="Uthkarsh Baral"/>
        <s v="Purab Reddy"/>
        <s v="Tiya Soni"/>
        <s v="Zara Dugar"/>
        <s v="Lakshit Mander"/>
        <s v="Neysa Krish"/>
        <s v="Prerak Boase"/>
        <s v="Siya Master"/>
        <s v="Indrans Ratti"/>
        <s v="Kimaya Balay"/>
        <s v="Eva Dass"/>
        <s v="Pihu Wali"/>
        <s v="Aarav Sen"/>
        <s v="Dishani Bera"/>
        <s v="Indrans Grover"/>
        <s v="Kismat Edwin"/>
        <s v="Gokul Sahni"/>
        <s v="Prerak Lalla"/>
        <s v="Oorja Sachar"/>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ount="4">
        <n v="800"/>
        <n v="1200"/>
        <n v="2500"/>
        <n v="1800"/>
      </sharedItems>
    </cacheField>
    <cacheField name="Attendance" numFmtId="0">
      <sharedItems containsSemiMixedTypes="0" containsString="0" containsNumber="1" containsInteger="1" minValue="2" maxValue="30"/>
    </cacheField>
    <cacheField name="City" numFmtId="0">
      <sharedItems/>
    </cacheField>
    <cacheField name="Referred_By" numFmtId="0">
      <sharedItems containsBlank="1"/>
    </cacheField>
    <cacheField name="Membership_Duration_Months" numFmtId="3">
      <sharedItems containsSemiMixedTypes="0" containsString="0" containsNumber="1" containsInteger="1" minValue="0" maxValue="18"/>
    </cacheField>
    <cacheField name="Referre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PANJAN DUTTA" refreshedDate="46092.837036574078" backgroundQuery="1" createdVersion="6" refreshedVersion="6" minRefreshableVersion="3" recordCount="0" supportSubquery="1" supportAdvancedDrill="1" xr:uid="{2FB8D0AA-6494-4AF9-8AC3-F14B696FB4D9}">
  <cacheSource type="external" connectionId="1"/>
  <cacheFields count="3">
    <cacheField name="[Table1345].[Membership_Type].[Membership_Type]" caption="Membership_Type" numFmtId="0" hierarchy="4" level="1">
      <sharedItems count="2">
        <s v="Family"/>
        <s v="Premium"/>
      </sharedItems>
    </cacheField>
    <cacheField name="[Table1345].[City].[City]" caption="City" numFmtId="0" hierarchy="9" level="1">
      <sharedItems count="6">
        <s v="Bengaluru"/>
        <s v="Delhi"/>
        <s v="Hyderabad"/>
        <s v="Kolkata"/>
        <s v="Mumbai"/>
        <s v="Pune"/>
      </sharedItems>
    </cacheField>
    <cacheField name="[Measures].[Sum of Total_Revenue]" caption="Sum of Total_Revenue" numFmtId="0" hierarchy="16" level="32767"/>
  </cacheFields>
  <cacheHierarchies count="17">
    <cacheHierarchy uniqueName="[Table1345].[Column1]" caption="Column1" attribute="1" defaultMemberUniqueName="[Table1345].[Column1].[All]" allUniqueName="[Table1345].[Column1].[All]" dimensionUniqueName="[Table1345]" displayFolder="" count="0" memberValueDatatype="130" unbalanced="0"/>
    <cacheHierarchy uniqueName="[Table1345].[Full_Name]" caption="Full_Name" attribute="1" defaultMemberUniqueName="[Table1345].[Full_Name].[All]" allUniqueName="[Table1345].[Full_Name].[All]" dimensionUniqueName="[Table1345]" displayFolder="" count="0" memberValueDatatype="130" unbalanced="0"/>
    <cacheHierarchy uniqueName="[Table1345].[Age]" caption="Age" attribute="1" defaultMemberUniqueName="[Table1345].[Age].[All]" allUniqueName="[Table1345].[Age].[All]" dimensionUniqueName="[Table1345]" displayFolder="" count="0" memberValueDatatype="20" unbalanced="0"/>
    <cacheHierarchy uniqueName="[Table1345].[Gender]" caption="Gender" attribute="1" defaultMemberUniqueName="[Table1345].[Gender].[All]" allUniqueName="[Table1345].[Gender].[All]" dimensionUniqueName="[Table1345]" displayFolder="" count="0" memberValueDatatype="130" unbalanced="0"/>
    <cacheHierarchy uniqueName="[Table1345].[Membership_Type]" caption="Membership_Type" attribute="1" defaultMemberUniqueName="[Table1345].[Membership_Type].[All]" allUniqueName="[Table1345].[Membership_Type].[All]" dimensionUniqueName="[Table1345]" displayFolder="" count="2" memberValueDatatype="130" unbalanced="0">
      <fieldsUsage count="2">
        <fieldUsage x="-1"/>
        <fieldUsage x="0"/>
      </fieldsUsage>
    </cacheHierarchy>
    <cacheHierarchy uniqueName="[Table1345].[Start_Date]" caption="Start_Date" attribute="1" time="1" defaultMemberUniqueName="[Table1345].[Start_Date].[All]" allUniqueName="[Table1345].[Start_Date].[All]" dimensionUniqueName="[Table1345]" displayFolder="" count="0" memberValueDatatype="7" unbalanced="0"/>
    <cacheHierarchy uniqueName="[Table1345].[End_Date]" caption="End_Date" attribute="1" time="1" defaultMemberUniqueName="[Table1345].[End_Date].[All]" allUniqueName="[Table1345].[End_Date].[All]" dimensionUniqueName="[Table1345]" displayFolder="" count="0" memberValueDatatype="7" unbalanced="0"/>
    <cacheHierarchy uniqueName="[Table1345].[Monthly_Fee]" caption="Monthly_Fee" attribute="1" defaultMemberUniqueName="[Table1345].[Monthly_Fee].[All]" allUniqueName="[Table1345].[Monthly_Fee].[All]" dimensionUniqueName="[Table1345]" displayFolder="" count="0" memberValueDatatype="20" unbalanced="0"/>
    <cacheHierarchy uniqueName="[Table1345].[Attendance]" caption="Attendance" attribute="1" defaultMemberUniqueName="[Table1345].[Attendance].[All]" allUniqueName="[Table1345].[Attendance].[All]" dimensionUniqueName="[Table1345]" displayFolder="" count="0" memberValueDatatype="20" unbalanced="0"/>
    <cacheHierarchy uniqueName="[Table1345].[City]" caption="City" attribute="1" defaultMemberUniqueName="[Table1345].[City].[All]" allUniqueName="[Table1345].[City].[All]" dimensionUniqueName="[Table1345]" displayFolder="" count="2" memberValueDatatype="130" unbalanced="0">
      <fieldsUsage count="2">
        <fieldUsage x="-1"/>
        <fieldUsage x="1"/>
      </fieldsUsage>
    </cacheHierarchy>
    <cacheHierarchy uniqueName="[Table1345].[Referred_By]" caption="Referred_By" attribute="1" defaultMemberUniqueName="[Table1345].[Referred_By].[All]" allUniqueName="[Table1345].[Referred_By].[All]" dimensionUniqueName="[Table1345]" displayFolder="" count="0" memberValueDatatype="130" unbalanced="0"/>
    <cacheHierarchy uniqueName="[Table1345].[Membership_Duration_Months]" caption="Membership_Duration_Months" attribute="1" defaultMemberUniqueName="[Table1345].[Membership_Duration_Months].[All]" allUniqueName="[Table1345].[Membership_Duration_Months].[All]" dimensionUniqueName="[Table1345]" displayFolder="" count="0" memberValueDatatype="20" unbalanced="0"/>
    <cacheHierarchy uniqueName="[Table1345].[Referred]" caption="Referred" attribute="1" defaultMemberUniqueName="[Table1345].[Referred].[All]" allUniqueName="[Table1345].[Referred].[All]" dimensionUniqueName="[Table1345]" displayFolder="" count="0" memberValueDatatype="130" unbalanced="0"/>
    <cacheHierarchy uniqueName="[Table1345].[Total_Revenue]" caption="Total_Revenue" attribute="1" defaultMemberUniqueName="[Table1345].[Total_Revenue].[All]" allUniqueName="[Table1345].[Total_Revenue].[All]" dimensionUniqueName="[Table1345]" displayFolder="" count="0" memberValueDatatype="20" unbalanced="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Sum of Total_Revenue]" caption="Sum of Total_Revenue" measure="1" displayFolder="" measureGroup="Table1345"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JAN DUTTA" refreshedDate="46093.517203240743" createdVersion="6" refreshedVersion="6" minRefreshableVersion="3" recordCount="35" xr:uid="{320880BE-C400-4E78-A351-CA595BE3219D}">
  <cacheSource type="worksheet">
    <worksheetSource name="Table1345"/>
  </cacheSource>
  <cacheFields count="15">
    <cacheField name="Column1"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ount="16">
        <s v="Hiran Shan"/>
        <s v="Kiara Kakar"/>
        <s v="Jhanvi Chaudhary"/>
        <s v="Tara Swaminathan"/>
        <s v="Madhav Singh"/>
        <s v="Shray Ramakrishnan"/>
        <s v="Nitara Comar"/>
        <s v="Ranbir Karan"/>
        <s v="Rati Sanghvi"/>
        <s v="Ishaan Kashyap"/>
        <s v="Tanya Bajwa"/>
        <s v="Adira Brar"/>
        <s v="Nakul Balakrishnan"/>
        <s v="Darshit Sidhu"/>
        <s v="Riya Dugal"/>
        <m/>
      </sharedItems>
    </cacheField>
    <cacheField name="Membership_Duration_Months" numFmtId="3">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ount="23">
        <n v="4800"/>
        <n v="0"/>
        <n v="7200"/>
        <n v="3600"/>
        <n v="17500"/>
        <n v="1600"/>
        <n v="2400"/>
        <n v="6000"/>
        <n v="15600"/>
        <n v="15000"/>
        <n v="5000"/>
        <n v="14400"/>
        <n v="5400"/>
        <n v="2500"/>
        <n v="13200"/>
        <n v="35000"/>
        <n v="8000"/>
        <n v="30600"/>
        <n v="16200"/>
        <n v="10800"/>
        <n v="1200"/>
        <n v="8400"/>
        <n v="800"/>
      </sharedItems>
    </cacheField>
    <cacheField name="Field1" numFmtId="0" formula=" 0" databaseField="0"/>
  </cacheFields>
  <extLst>
    <ext xmlns:x14="http://schemas.microsoft.com/office/spreadsheetml/2009/9/main" uri="{725AE2AE-9491-48be-B2B4-4EB974FC3084}">
      <x14:pivotCacheDefinition pivotCacheId="203428112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JAN DUTTA" refreshedDate="46093.833687847226" createdVersion="6" refreshedVersion="6" minRefreshableVersion="3" recordCount="35" xr:uid="{C48CF75F-F9F9-48CA-8A50-D5A5111F8E7E}">
  <cacheSource type="worksheet">
    <worksheetSource name="Table13458"/>
  </cacheSource>
  <cacheFields count="15">
    <cacheField name="Column1" numFmtId="0">
      <sharedItems/>
    </cacheField>
    <cacheField name="Full_Name" numFmtId="0">
      <sharedItems/>
    </cacheField>
    <cacheField name="Age" numFmtId="0">
      <sharedItems containsSemiMixedTypes="0" containsString="0" containsNumber="1" containsInteger="1" minValue="19" maxValue="59" count="26">
        <n v="59"/>
        <n v="27"/>
        <n v="24"/>
        <n v="31"/>
        <n v="19"/>
        <n v="40"/>
        <n v="42"/>
        <n v="37"/>
        <n v="48"/>
        <n v="36"/>
        <n v="28"/>
        <n v="53"/>
        <n v="52"/>
        <n v="23"/>
        <n v="41"/>
        <n v="43"/>
        <n v="39"/>
        <n v="44"/>
        <n v="35"/>
        <n v="56"/>
        <n v="57"/>
        <n v="26"/>
        <n v="25"/>
        <n v="29"/>
        <n v="20"/>
        <n v="22"/>
      </sharedItems>
    </cacheField>
    <cacheField name="Gender" numFmtId="0">
      <sharedItems count="2">
        <s v="Male"/>
        <s v="Female"/>
      </sharedItems>
    </cacheField>
    <cacheField name="Membership_Type" numFmtId="0">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s" numFmtId="3">
      <sharedItems containsSemiMixedTypes="0" containsString="0" containsNumber="1" containsInteger="1" minValue="0" maxValue="18"/>
    </cacheField>
    <cacheField name="Referred" numFmtId="0">
      <sharedItems/>
    </cacheField>
    <cacheField name="Total_Revenue" numFmtId="0">
      <sharedItems containsSemiMixedTypes="0" containsString="0" containsNumber="1" containsInteger="1" minValue="0" maxValue="35000"/>
    </cacheField>
    <cacheField name="Age Type" numFmtId="0">
      <sharedItems count="3">
        <s v="Senior"/>
        <s v="Youth"/>
        <s v="Adul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x v="0"/>
    <n v="59"/>
    <s v="Male"/>
    <s v="Basic"/>
    <d v="2023-11-05T00:00:00"/>
    <d v="2024-05-13T00:00:00"/>
    <x v="0"/>
    <n v="25"/>
    <s v="Bengaluru"/>
    <s v="Hiran Shan"/>
    <n v="6"/>
    <x v="0"/>
  </r>
  <r>
    <s v="M002"/>
    <x v="1"/>
    <n v="27"/>
    <s v="Male"/>
    <s v="Basic"/>
    <d v="2025-02-26T00:00:00"/>
    <d v="2025-03-24T00:00:00"/>
    <x v="0"/>
    <n v="20"/>
    <s v="Pune"/>
    <s v="Kiara Kakar"/>
    <n v="0"/>
    <x v="0"/>
  </r>
  <r>
    <s v="M003"/>
    <x v="2"/>
    <n v="24"/>
    <s v="Male"/>
    <s v="Standard"/>
    <d v="2023-09-22T00:00:00"/>
    <d v="2024-03-20T00:00:00"/>
    <x v="1"/>
    <n v="18"/>
    <s v="Hyderabad"/>
    <s v="Jhanvi Chaudhary"/>
    <n v="6"/>
    <x v="0"/>
  </r>
  <r>
    <s v="M004"/>
    <x v="3"/>
    <n v="31"/>
    <s v="Female"/>
    <s v="Standard"/>
    <d v="2024-07-06T00:00:00"/>
    <d v="2024-10-22T00:00:00"/>
    <x v="1"/>
    <n v="16"/>
    <s v="Hyderabad"/>
    <s v="Tara Swaminathan"/>
    <n v="3"/>
    <x v="0"/>
  </r>
  <r>
    <s v="M005"/>
    <x v="4"/>
    <n v="19"/>
    <s v="Male"/>
    <s v="Family"/>
    <d v="2023-12-26T00:00:00"/>
    <d v="2024-07-28T00:00:00"/>
    <x v="2"/>
    <n v="12"/>
    <s v="Bengaluru"/>
    <s v="Madhav Singh"/>
    <n v="7"/>
    <x v="0"/>
  </r>
  <r>
    <s v="M006"/>
    <x v="5"/>
    <n v="40"/>
    <s v="Male"/>
    <s v="Basic"/>
    <d v="2024-01-26T00:00:00"/>
    <d v="2024-04-10T00:00:00"/>
    <x v="0"/>
    <n v="14"/>
    <s v="Mumbai"/>
    <s v="Shray Ramakrishnan"/>
    <n v="2"/>
    <x v="0"/>
  </r>
  <r>
    <s v="M009"/>
    <x v="6"/>
    <n v="42"/>
    <s v="Male"/>
    <s v="Basic"/>
    <d v="2024-10-04T00:00:00"/>
    <d v="2024-10-17T00:00:00"/>
    <x v="0"/>
    <n v="3"/>
    <s v="Kolkata"/>
    <s v="Nitara Comar"/>
    <n v="0"/>
    <x v="0"/>
  </r>
  <r>
    <s v="M010"/>
    <x v="7"/>
    <n v="37"/>
    <s v="Male"/>
    <s v="Standard"/>
    <d v="2023-10-03T00:00:00"/>
    <d v="2023-12-20T00:00:00"/>
    <x v="1"/>
    <n v="29"/>
    <s v="Mumbai"/>
    <s v="Ranbir Karan"/>
    <n v="2"/>
    <x v="0"/>
  </r>
  <r>
    <s v="M011"/>
    <x v="8"/>
    <n v="48"/>
    <s v="Female"/>
    <s v="Standard"/>
    <d v="2024-01-06T00:00:00"/>
    <d v="2024-06-16T00:00:00"/>
    <x v="1"/>
    <n v="13"/>
    <s v="Bengaluru"/>
    <s v="Rati Sanghvi"/>
    <n v="5"/>
    <x v="0"/>
  </r>
  <r>
    <s v="M012"/>
    <x v="9"/>
    <n v="36"/>
    <s v="Male"/>
    <s v="Standard"/>
    <d v="2023-08-16T00:00:00"/>
    <d v="2024-10-03T00:00:00"/>
    <x v="1"/>
    <n v="19"/>
    <s v="Kolkata"/>
    <s v="Ishaan Kashyap"/>
    <n v="13"/>
    <x v="0"/>
  </r>
  <r>
    <s v="M020"/>
    <x v="10"/>
    <n v="28"/>
    <s v="Male"/>
    <s v="Family"/>
    <d v="2024-05-05T00:00:00"/>
    <d v="2024-11-12T00:00:00"/>
    <x v="2"/>
    <n v="21"/>
    <s v="Mumbai"/>
    <s v="Tanya Bajwa"/>
    <n v="6"/>
    <x v="0"/>
  </r>
  <r>
    <s v="M025"/>
    <x v="11"/>
    <n v="53"/>
    <s v="Male"/>
    <s v="Premium"/>
    <d v="2023-12-26T00:00:00"/>
    <d v="2024-03-21T00:00:00"/>
    <x v="3"/>
    <n v="17"/>
    <s v="Mumbai"/>
    <s v="Adira Brar"/>
    <n v="2"/>
    <x v="0"/>
  </r>
  <r>
    <s v="M030"/>
    <x v="12"/>
    <n v="31"/>
    <s v="Female"/>
    <s v="Family"/>
    <d v="2025-01-10T00:00:00"/>
    <d v="2025-03-29T00:00:00"/>
    <x v="2"/>
    <n v="23"/>
    <s v="Kolkata"/>
    <s v="Nakul Balakrishnan"/>
    <n v="2"/>
    <x v="0"/>
  </r>
  <r>
    <s v="M031"/>
    <x v="13"/>
    <n v="52"/>
    <s v="Female"/>
    <s v="Basic"/>
    <d v="2023-06-11T00:00:00"/>
    <d v="2024-12-30T00:00:00"/>
    <x v="0"/>
    <n v="9"/>
    <s v="Delhi"/>
    <s v="Darshit Sidhu"/>
    <n v="18"/>
    <x v="0"/>
  </r>
  <r>
    <s v="M034"/>
    <x v="14"/>
    <n v="23"/>
    <s v="Male"/>
    <s v="Premium"/>
    <d v="2024-10-23T00:00:00"/>
    <d v="2025-03-05T00:00:00"/>
    <x v="3"/>
    <n v="23"/>
    <s v="Pune"/>
    <s v="Riya Dugal"/>
    <n v="4"/>
    <x v="0"/>
  </r>
  <r>
    <s v="M007"/>
    <x v="15"/>
    <n v="41"/>
    <s v="Female"/>
    <s v="Basic"/>
    <d v="2024-10-23T00:00:00"/>
    <d v="2025-01-20T00:00:00"/>
    <x v="0"/>
    <n v="25"/>
    <s v="Pune"/>
    <m/>
    <n v="2"/>
    <x v="1"/>
  </r>
  <r>
    <s v="M008"/>
    <x v="16"/>
    <n v="43"/>
    <s v="Male"/>
    <s v="Premium"/>
    <d v="2024-06-07T00:00:00"/>
    <d v="2024-09-28T00:00:00"/>
    <x v="3"/>
    <n v="28"/>
    <s v="Kolkata"/>
    <m/>
    <n v="3"/>
    <x v="1"/>
  </r>
  <r>
    <s v="M013"/>
    <x v="17"/>
    <n v="48"/>
    <s v="Female"/>
    <s v="Premium"/>
    <d v="2024-09-21T00:00:00"/>
    <d v="2024-12-15T00:00:00"/>
    <x v="3"/>
    <n v="22"/>
    <s v="Kolkata"/>
    <m/>
    <n v="2"/>
    <x v="1"/>
  </r>
  <r>
    <s v="M014"/>
    <x v="18"/>
    <n v="39"/>
    <s v="Male"/>
    <s v="Standard"/>
    <d v="2023-05-19T00:00:00"/>
    <d v="2023-11-12T00:00:00"/>
    <x v="1"/>
    <n v="28"/>
    <s v="Mumbai"/>
    <m/>
    <n v="5"/>
    <x v="1"/>
  </r>
  <r>
    <s v="M015"/>
    <x v="19"/>
    <n v="44"/>
    <s v="Female"/>
    <s v="Basic"/>
    <d v="2024-02-11T00:00:00"/>
    <d v="2024-09-05T00:00:00"/>
    <x v="0"/>
    <n v="8"/>
    <s v="Hyderabad"/>
    <m/>
    <n v="6"/>
    <x v="1"/>
  </r>
  <r>
    <s v="M016"/>
    <x v="20"/>
    <n v="39"/>
    <s v="Male"/>
    <s v="Family"/>
    <d v="2025-02-14T00:00:00"/>
    <d v="2025-03-16T00:00:00"/>
    <x v="2"/>
    <n v="14"/>
    <s v="Kolkata"/>
    <m/>
    <n v="1"/>
    <x v="1"/>
  </r>
  <r>
    <s v="M017"/>
    <x v="21"/>
    <n v="35"/>
    <s v="Male"/>
    <s v="Standard"/>
    <d v="2024-02-07T00:00:00"/>
    <d v="2025-01-28T00:00:00"/>
    <x v="1"/>
    <n v="25"/>
    <s v="Hyderabad"/>
    <m/>
    <n v="11"/>
    <x v="1"/>
  </r>
  <r>
    <s v="M018"/>
    <x v="22"/>
    <n v="56"/>
    <s v="Female"/>
    <s v="Family"/>
    <d v="2023-10-14T00:00:00"/>
    <d v="2024-12-23T00:00:00"/>
    <x v="2"/>
    <n v="13"/>
    <s v="Delhi"/>
    <m/>
    <n v="14"/>
    <x v="1"/>
  </r>
  <r>
    <s v="M019"/>
    <x v="23"/>
    <n v="27"/>
    <s v="Female"/>
    <s v="Basic"/>
    <d v="2024-03-03T00:00:00"/>
    <d v="2025-01-07T00:00:00"/>
    <x v="0"/>
    <n v="26"/>
    <s v="Mumbai"/>
    <m/>
    <n v="10"/>
    <x v="1"/>
  </r>
  <r>
    <s v="M021"/>
    <x v="24"/>
    <n v="57"/>
    <s v="Female"/>
    <s v="Premium"/>
    <d v="2023-08-08T00:00:00"/>
    <d v="2025-01-17T00:00:00"/>
    <x v="3"/>
    <n v="19"/>
    <s v="Mumbai"/>
    <m/>
    <n v="17"/>
    <x v="1"/>
  </r>
  <r>
    <s v="M022"/>
    <x v="25"/>
    <n v="26"/>
    <s v="Female"/>
    <s v="Premium"/>
    <d v="2024-01-29T00:00:00"/>
    <d v="2024-11-20T00:00:00"/>
    <x v="3"/>
    <n v="5"/>
    <s v="Bengaluru"/>
    <m/>
    <n v="9"/>
    <x v="1"/>
  </r>
  <r>
    <s v="M023"/>
    <x v="26"/>
    <n v="48"/>
    <s v="Male"/>
    <s v="Premium"/>
    <d v="2024-06-08T00:00:00"/>
    <d v="2024-06-12T00:00:00"/>
    <x v="3"/>
    <n v="18"/>
    <s v="Delhi"/>
    <m/>
    <n v="0"/>
    <x v="1"/>
  </r>
  <r>
    <s v="M024"/>
    <x v="27"/>
    <n v="25"/>
    <s v="Female"/>
    <s v="Standard"/>
    <d v="2024-05-27T00:00:00"/>
    <d v="2025-03-14T00:00:00"/>
    <x v="1"/>
    <n v="6"/>
    <s v="Bengaluru"/>
    <m/>
    <n v="9"/>
    <x v="1"/>
  </r>
  <r>
    <s v="M026"/>
    <x v="28"/>
    <n v="42"/>
    <s v="Female"/>
    <s v="Standard"/>
    <d v="2025-02-14T00:00:00"/>
    <d v="2025-03-11T00:00:00"/>
    <x v="1"/>
    <n v="3"/>
    <s v="Delhi"/>
    <m/>
    <n v="0"/>
    <x v="1"/>
  </r>
  <r>
    <s v="M027"/>
    <x v="29"/>
    <n v="24"/>
    <s v="Male"/>
    <s v="Family"/>
    <d v="2025-02-10T00:00:00"/>
    <d v="2025-03-10T00:00:00"/>
    <x v="2"/>
    <n v="28"/>
    <s v="Mumbai"/>
    <m/>
    <n v="0"/>
    <x v="1"/>
  </r>
  <r>
    <s v="M028"/>
    <x v="30"/>
    <n v="53"/>
    <s v="Male"/>
    <s v="Standard"/>
    <d v="2024-11-18T00:00:00"/>
    <d v="2024-12-19T00:00:00"/>
    <x v="1"/>
    <n v="23"/>
    <s v="Pune"/>
    <m/>
    <n v="1"/>
    <x v="1"/>
  </r>
  <r>
    <s v="M029"/>
    <x v="31"/>
    <n v="29"/>
    <s v="Female"/>
    <s v="Family"/>
    <d v="2024-04-19T00:00:00"/>
    <d v="2024-04-26T00:00:00"/>
    <x v="2"/>
    <n v="8"/>
    <s v="Hyderabad"/>
    <m/>
    <n v="0"/>
    <x v="1"/>
  </r>
  <r>
    <s v="M032"/>
    <x v="32"/>
    <n v="20"/>
    <s v="Male"/>
    <s v="Standard"/>
    <d v="2024-04-09T00:00:00"/>
    <d v="2024-11-08T00:00:00"/>
    <x v="1"/>
    <n v="2"/>
    <s v="Mumbai"/>
    <m/>
    <n v="7"/>
    <x v="1"/>
  </r>
  <r>
    <s v="M033"/>
    <x v="33"/>
    <n v="22"/>
    <s v="Male"/>
    <s v="Basic"/>
    <d v="2025-02-11T00:00:00"/>
    <d v="2025-03-24T00:00:00"/>
    <x v="0"/>
    <n v="30"/>
    <s v="Mumbai"/>
    <m/>
    <n v="1"/>
    <x v="1"/>
  </r>
  <r>
    <s v="M035"/>
    <x v="34"/>
    <n v="27"/>
    <s v="Female"/>
    <s v="Standard"/>
    <d v="2024-01-21T00:00:00"/>
    <d v="2024-12-26T00:00:00"/>
    <x v="1"/>
    <n v="27"/>
    <s v="Pune"/>
    <m/>
    <n v="1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n v="59"/>
    <s v="Male"/>
    <x v="0"/>
    <d v="2023-11-05T00:00:00"/>
    <d v="2024-05-13T00:00:00"/>
    <n v="800"/>
    <n v="25"/>
    <x v="0"/>
    <x v="0"/>
    <n v="6"/>
    <x v="0"/>
    <x v="0"/>
  </r>
  <r>
    <s v="M002"/>
    <s v="Parinaaz Shanker"/>
    <n v="27"/>
    <s v="Male"/>
    <x v="0"/>
    <d v="2025-02-26T00:00:00"/>
    <d v="2025-03-24T00:00:00"/>
    <n v="800"/>
    <n v="20"/>
    <x v="1"/>
    <x v="1"/>
    <n v="0"/>
    <x v="0"/>
    <x v="1"/>
  </r>
  <r>
    <s v="M003"/>
    <s v="Aniruddh Batra"/>
    <n v="24"/>
    <s v="Male"/>
    <x v="1"/>
    <d v="2023-09-22T00:00:00"/>
    <d v="2024-03-20T00:00:00"/>
    <n v="1200"/>
    <n v="18"/>
    <x v="2"/>
    <x v="2"/>
    <n v="6"/>
    <x v="0"/>
    <x v="2"/>
  </r>
  <r>
    <s v="M004"/>
    <s v="Madhup Kapur"/>
    <n v="31"/>
    <s v="Female"/>
    <x v="1"/>
    <d v="2024-07-06T00:00:00"/>
    <d v="2024-10-22T00:00:00"/>
    <n v="1200"/>
    <n v="16"/>
    <x v="2"/>
    <x v="3"/>
    <n v="3"/>
    <x v="0"/>
    <x v="3"/>
  </r>
  <r>
    <s v="M005"/>
    <s v="Rasha Kakar"/>
    <n v="19"/>
    <s v="Male"/>
    <x v="2"/>
    <d v="2023-12-26T00:00:00"/>
    <d v="2024-07-28T00:00:00"/>
    <n v="2500"/>
    <n v="12"/>
    <x v="0"/>
    <x v="4"/>
    <n v="7"/>
    <x v="0"/>
    <x v="4"/>
  </r>
  <r>
    <s v="M006"/>
    <s v="Ehsaan Batra"/>
    <n v="40"/>
    <s v="Male"/>
    <x v="0"/>
    <d v="2024-01-26T00:00:00"/>
    <d v="2024-04-10T00:00:00"/>
    <n v="800"/>
    <n v="14"/>
    <x v="3"/>
    <x v="5"/>
    <n v="2"/>
    <x v="0"/>
    <x v="5"/>
  </r>
  <r>
    <s v="M009"/>
    <s v="Kashvi Char"/>
    <n v="42"/>
    <s v="Male"/>
    <x v="0"/>
    <d v="2024-10-04T00:00:00"/>
    <d v="2024-10-17T00:00:00"/>
    <n v="800"/>
    <n v="3"/>
    <x v="4"/>
    <x v="6"/>
    <n v="0"/>
    <x v="0"/>
    <x v="1"/>
  </r>
  <r>
    <s v="M010"/>
    <s v="Dhanush Varma"/>
    <n v="37"/>
    <s v="Male"/>
    <x v="1"/>
    <d v="2023-10-03T00:00:00"/>
    <d v="2023-12-20T00:00:00"/>
    <n v="1200"/>
    <n v="29"/>
    <x v="3"/>
    <x v="7"/>
    <n v="2"/>
    <x v="0"/>
    <x v="6"/>
  </r>
  <r>
    <s v="M011"/>
    <s v="Ishaan Goyal"/>
    <n v="48"/>
    <s v="Female"/>
    <x v="1"/>
    <d v="2024-01-06T00:00:00"/>
    <d v="2024-06-16T00:00:00"/>
    <n v="1200"/>
    <n v="13"/>
    <x v="0"/>
    <x v="8"/>
    <n v="5"/>
    <x v="0"/>
    <x v="7"/>
  </r>
  <r>
    <s v="M012"/>
    <s v="Mahika Ravi"/>
    <n v="36"/>
    <s v="Male"/>
    <x v="1"/>
    <d v="2023-08-16T00:00:00"/>
    <d v="2024-10-03T00:00:00"/>
    <n v="1200"/>
    <n v="19"/>
    <x v="4"/>
    <x v="9"/>
    <n v="13"/>
    <x v="0"/>
    <x v="8"/>
  </r>
  <r>
    <s v="M020"/>
    <s v="Madhup Biswas"/>
    <n v="28"/>
    <s v="Male"/>
    <x v="2"/>
    <d v="2024-05-05T00:00:00"/>
    <d v="2024-11-12T00:00:00"/>
    <n v="2500"/>
    <n v="21"/>
    <x v="3"/>
    <x v="10"/>
    <n v="6"/>
    <x v="0"/>
    <x v="9"/>
  </r>
  <r>
    <s v="M025"/>
    <s v="Tiya Rege"/>
    <n v="53"/>
    <s v="Male"/>
    <x v="3"/>
    <d v="2023-12-26T00:00:00"/>
    <d v="2024-03-21T00:00:00"/>
    <n v="1800"/>
    <n v="17"/>
    <x v="3"/>
    <x v="11"/>
    <n v="2"/>
    <x v="0"/>
    <x v="3"/>
  </r>
  <r>
    <s v="M030"/>
    <s v="Taran Vyas"/>
    <n v="31"/>
    <s v="Female"/>
    <x v="2"/>
    <d v="2025-01-10T00:00:00"/>
    <d v="2025-03-29T00:00:00"/>
    <n v="2500"/>
    <n v="23"/>
    <x v="4"/>
    <x v="12"/>
    <n v="2"/>
    <x v="0"/>
    <x v="10"/>
  </r>
  <r>
    <s v="M031"/>
    <s v="Jiya Baral"/>
    <n v="52"/>
    <s v="Female"/>
    <x v="0"/>
    <d v="2023-06-11T00:00:00"/>
    <d v="2024-12-30T00:00:00"/>
    <n v="800"/>
    <n v="9"/>
    <x v="5"/>
    <x v="13"/>
    <n v="18"/>
    <x v="0"/>
    <x v="11"/>
  </r>
  <r>
    <s v="M034"/>
    <s v="Hrishita Shroff"/>
    <n v="23"/>
    <s v="Male"/>
    <x v="3"/>
    <d v="2024-10-23T00:00:00"/>
    <d v="2025-03-05T00:00:00"/>
    <n v="1800"/>
    <n v="23"/>
    <x v="1"/>
    <x v="14"/>
    <n v="4"/>
    <x v="0"/>
    <x v="2"/>
  </r>
  <r>
    <s v="M007"/>
    <s v="Zara Bains"/>
    <n v="41"/>
    <s v="Female"/>
    <x v="0"/>
    <d v="2024-10-23T00:00:00"/>
    <d v="2025-01-20T00:00:00"/>
    <n v="800"/>
    <n v="25"/>
    <x v="1"/>
    <x v="15"/>
    <n v="2"/>
    <x v="1"/>
    <x v="5"/>
  </r>
  <r>
    <s v="M008"/>
    <s v="Uthkarsh Baral"/>
    <n v="43"/>
    <s v="Male"/>
    <x v="3"/>
    <d v="2024-06-07T00:00:00"/>
    <d v="2024-09-28T00:00:00"/>
    <n v="1800"/>
    <n v="28"/>
    <x v="4"/>
    <x v="15"/>
    <n v="3"/>
    <x v="1"/>
    <x v="12"/>
  </r>
  <r>
    <s v="M013"/>
    <s v="Purab Reddy"/>
    <n v="48"/>
    <s v="Female"/>
    <x v="3"/>
    <d v="2024-09-21T00:00:00"/>
    <d v="2024-12-15T00:00:00"/>
    <n v="1800"/>
    <n v="22"/>
    <x v="4"/>
    <x v="15"/>
    <n v="2"/>
    <x v="1"/>
    <x v="3"/>
  </r>
  <r>
    <s v="M014"/>
    <s v="Tiya Soni"/>
    <n v="39"/>
    <s v="Male"/>
    <x v="1"/>
    <d v="2023-05-19T00:00:00"/>
    <d v="2023-11-12T00:00:00"/>
    <n v="1200"/>
    <n v="28"/>
    <x v="3"/>
    <x v="15"/>
    <n v="5"/>
    <x v="1"/>
    <x v="7"/>
  </r>
  <r>
    <s v="M015"/>
    <s v="Zara Dugar"/>
    <n v="44"/>
    <s v="Female"/>
    <x v="0"/>
    <d v="2024-02-11T00:00:00"/>
    <d v="2024-09-05T00:00:00"/>
    <n v="800"/>
    <n v="8"/>
    <x v="2"/>
    <x v="15"/>
    <n v="6"/>
    <x v="1"/>
    <x v="0"/>
  </r>
  <r>
    <s v="M016"/>
    <s v="Lakshit Mander"/>
    <n v="39"/>
    <s v="Male"/>
    <x v="2"/>
    <d v="2025-02-14T00:00:00"/>
    <d v="2025-03-16T00:00:00"/>
    <n v="2500"/>
    <n v="14"/>
    <x v="4"/>
    <x v="15"/>
    <n v="1"/>
    <x v="1"/>
    <x v="13"/>
  </r>
  <r>
    <s v="M017"/>
    <s v="Neysa Krish"/>
    <n v="35"/>
    <s v="Male"/>
    <x v="1"/>
    <d v="2024-02-07T00:00:00"/>
    <d v="2025-01-28T00:00:00"/>
    <n v="1200"/>
    <n v="25"/>
    <x v="2"/>
    <x v="15"/>
    <n v="11"/>
    <x v="1"/>
    <x v="14"/>
  </r>
  <r>
    <s v="M018"/>
    <s v="Prerak Boase"/>
    <n v="56"/>
    <s v="Female"/>
    <x v="2"/>
    <d v="2023-10-14T00:00:00"/>
    <d v="2024-12-23T00:00:00"/>
    <n v="2500"/>
    <n v="13"/>
    <x v="5"/>
    <x v="15"/>
    <n v="14"/>
    <x v="1"/>
    <x v="15"/>
  </r>
  <r>
    <s v="M019"/>
    <s v="Siya Master"/>
    <n v="27"/>
    <s v="Female"/>
    <x v="0"/>
    <d v="2024-03-03T00:00:00"/>
    <d v="2025-01-07T00:00:00"/>
    <n v="800"/>
    <n v="26"/>
    <x v="3"/>
    <x v="15"/>
    <n v="10"/>
    <x v="1"/>
    <x v="16"/>
  </r>
  <r>
    <s v="M021"/>
    <s v="Indrans Ratti"/>
    <n v="57"/>
    <s v="Female"/>
    <x v="3"/>
    <d v="2023-08-08T00:00:00"/>
    <d v="2025-01-17T00:00:00"/>
    <n v="1800"/>
    <n v="19"/>
    <x v="3"/>
    <x v="15"/>
    <n v="17"/>
    <x v="1"/>
    <x v="17"/>
  </r>
  <r>
    <s v="M022"/>
    <s v="Kimaya Balay"/>
    <n v="26"/>
    <s v="Female"/>
    <x v="3"/>
    <d v="2024-01-29T00:00:00"/>
    <d v="2024-11-20T00:00:00"/>
    <n v="1800"/>
    <n v="5"/>
    <x v="0"/>
    <x v="15"/>
    <n v="9"/>
    <x v="1"/>
    <x v="18"/>
  </r>
  <r>
    <s v="M023"/>
    <s v="Eva Dass"/>
    <n v="48"/>
    <s v="Male"/>
    <x v="3"/>
    <d v="2024-06-08T00:00:00"/>
    <d v="2024-06-12T00:00:00"/>
    <n v="1800"/>
    <n v="18"/>
    <x v="5"/>
    <x v="15"/>
    <n v="0"/>
    <x v="1"/>
    <x v="1"/>
  </r>
  <r>
    <s v="M024"/>
    <s v="Pihu Wali"/>
    <n v="25"/>
    <s v="Female"/>
    <x v="1"/>
    <d v="2024-05-27T00:00:00"/>
    <d v="2025-03-14T00:00:00"/>
    <n v="1200"/>
    <n v="6"/>
    <x v="0"/>
    <x v="15"/>
    <n v="9"/>
    <x v="1"/>
    <x v="19"/>
  </r>
  <r>
    <s v="M026"/>
    <s v="Aarav Sen"/>
    <n v="42"/>
    <s v="Female"/>
    <x v="1"/>
    <d v="2025-02-14T00:00:00"/>
    <d v="2025-03-11T00:00:00"/>
    <n v="1200"/>
    <n v="3"/>
    <x v="5"/>
    <x v="15"/>
    <n v="0"/>
    <x v="1"/>
    <x v="1"/>
  </r>
  <r>
    <s v="M027"/>
    <s v="Dishani Bera"/>
    <n v="24"/>
    <s v="Male"/>
    <x v="2"/>
    <d v="2025-02-10T00:00:00"/>
    <d v="2025-03-10T00:00:00"/>
    <n v="2500"/>
    <n v="28"/>
    <x v="3"/>
    <x v="15"/>
    <n v="0"/>
    <x v="1"/>
    <x v="1"/>
  </r>
  <r>
    <s v="M028"/>
    <s v="Indrans Grover"/>
    <n v="53"/>
    <s v="Male"/>
    <x v="1"/>
    <d v="2024-11-18T00:00:00"/>
    <d v="2024-12-19T00:00:00"/>
    <n v="1200"/>
    <n v="23"/>
    <x v="1"/>
    <x v="15"/>
    <n v="1"/>
    <x v="1"/>
    <x v="20"/>
  </r>
  <r>
    <s v="M029"/>
    <s v="Kismat Edwin"/>
    <n v="29"/>
    <s v="Female"/>
    <x v="2"/>
    <d v="2024-04-19T00:00:00"/>
    <d v="2024-04-26T00:00:00"/>
    <n v="2500"/>
    <n v="8"/>
    <x v="2"/>
    <x v="15"/>
    <n v="0"/>
    <x v="1"/>
    <x v="1"/>
  </r>
  <r>
    <s v="M032"/>
    <s v="Gokul Sahni"/>
    <n v="20"/>
    <s v="Male"/>
    <x v="1"/>
    <d v="2024-04-09T00:00:00"/>
    <d v="2024-11-08T00:00:00"/>
    <n v="1200"/>
    <n v="2"/>
    <x v="3"/>
    <x v="15"/>
    <n v="7"/>
    <x v="1"/>
    <x v="21"/>
  </r>
  <r>
    <s v="M033"/>
    <s v="Prerak Lalla"/>
    <n v="22"/>
    <s v="Male"/>
    <x v="0"/>
    <d v="2025-02-11T00:00:00"/>
    <d v="2025-03-24T00:00:00"/>
    <n v="800"/>
    <n v="30"/>
    <x v="3"/>
    <x v="15"/>
    <n v="1"/>
    <x v="1"/>
    <x v="22"/>
  </r>
  <r>
    <s v="M035"/>
    <s v="Oorja Sachar"/>
    <n v="27"/>
    <s v="Female"/>
    <x v="1"/>
    <d v="2024-01-21T00:00:00"/>
    <d v="2024-12-26T00:00:00"/>
    <n v="1200"/>
    <n v="27"/>
    <x v="1"/>
    <x v="15"/>
    <n v="11"/>
    <x v="1"/>
    <x v="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M001"/>
    <s v="Anay Shanker"/>
    <x v="0"/>
    <x v="0"/>
    <s v="Basic"/>
    <d v="2023-11-05T00:00:00"/>
    <d v="2024-05-13T00:00:00"/>
    <n v="800"/>
    <n v="25"/>
    <x v="0"/>
    <s v="Hiran Shan"/>
    <n v="6"/>
    <s v="YES"/>
    <n v="4800"/>
    <x v="0"/>
  </r>
  <r>
    <s v="M002"/>
    <s v="Parinaaz Shanker"/>
    <x v="1"/>
    <x v="0"/>
    <s v="Basic"/>
    <d v="2025-02-26T00:00:00"/>
    <d v="2025-03-24T00:00:00"/>
    <n v="800"/>
    <n v="20"/>
    <x v="1"/>
    <s v="Kiara Kakar"/>
    <n v="0"/>
    <s v="YES"/>
    <n v="0"/>
    <x v="1"/>
  </r>
  <r>
    <s v="M003"/>
    <s v="Aniruddh Batra"/>
    <x v="2"/>
    <x v="0"/>
    <s v="Standard"/>
    <d v="2023-09-22T00:00:00"/>
    <d v="2024-03-20T00:00:00"/>
    <n v="1200"/>
    <n v="18"/>
    <x v="2"/>
    <s v="Jhanvi Chaudhary"/>
    <n v="6"/>
    <s v="YES"/>
    <n v="7200"/>
    <x v="1"/>
  </r>
  <r>
    <s v="M004"/>
    <s v="Madhup Kapur"/>
    <x v="3"/>
    <x v="1"/>
    <s v="Standard"/>
    <d v="2024-07-06T00:00:00"/>
    <d v="2024-10-22T00:00:00"/>
    <n v="1200"/>
    <n v="16"/>
    <x v="2"/>
    <s v="Tara Swaminathan"/>
    <n v="3"/>
    <s v="YES"/>
    <n v="3600"/>
    <x v="2"/>
  </r>
  <r>
    <s v="M005"/>
    <s v="Rasha Kakar"/>
    <x v="4"/>
    <x v="0"/>
    <s v="Family"/>
    <d v="2023-12-26T00:00:00"/>
    <d v="2024-07-28T00:00:00"/>
    <n v="2500"/>
    <n v="12"/>
    <x v="0"/>
    <s v="Madhav Singh"/>
    <n v="7"/>
    <s v="YES"/>
    <n v="17500"/>
    <x v="1"/>
  </r>
  <r>
    <s v="M006"/>
    <s v="Ehsaan Batra"/>
    <x v="5"/>
    <x v="0"/>
    <s v="Basic"/>
    <d v="2024-01-26T00:00:00"/>
    <d v="2024-04-10T00:00:00"/>
    <n v="800"/>
    <n v="14"/>
    <x v="3"/>
    <s v="Shray Ramakrishnan"/>
    <n v="2"/>
    <s v="YES"/>
    <n v="1600"/>
    <x v="2"/>
  </r>
  <r>
    <s v="M009"/>
    <s v="Kashvi Char"/>
    <x v="6"/>
    <x v="0"/>
    <s v="Basic"/>
    <d v="2024-10-04T00:00:00"/>
    <d v="2024-10-17T00:00:00"/>
    <n v="800"/>
    <n v="3"/>
    <x v="4"/>
    <s v="Nitara Comar"/>
    <n v="0"/>
    <s v="YES"/>
    <n v="0"/>
    <x v="2"/>
  </r>
  <r>
    <s v="M010"/>
    <s v="Dhanush Varma"/>
    <x v="7"/>
    <x v="0"/>
    <s v="Standard"/>
    <d v="2023-10-03T00:00:00"/>
    <d v="2023-12-20T00:00:00"/>
    <n v="1200"/>
    <n v="29"/>
    <x v="3"/>
    <s v="Ranbir Karan"/>
    <n v="2"/>
    <s v="YES"/>
    <n v="2400"/>
    <x v="2"/>
  </r>
  <r>
    <s v="M011"/>
    <s v="Ishaan Goyal"/>
    <x v="8"/>
    <x v="1"/>
    <s v="Standard"/>
    <d v="2024-01-06T00:00:00"/>
    <d v="2024-06-16T00:00:00"/>
    <n v="1200"/>
    <n v="13"/>
    <x v="0"/>
    <s v="Rati Sanghvi"/>
    <n v="5"/>
    <s v="YES"/>
    <n v="6000"/>
    <x v="0"/>
  </r>
  <r>
    <s v="M012"/>
    <s v="Mahika Ravi"/>
    <x v="9"/>
    <x v="0"/>
    <s v="Standard"/>
    <d v="2023-08-16T00:00:00"/>
    <d v="2024-10-03T00:00:00"/>
    <n v="1200"/>
    <n v="19"/>
    <x v="4"/>
    <s v="Ishaan Kashyap"/>
    <n v="13"/>
    <s v="YES"/>
    <n v="15600"/>
    <x v="2"/>
  </r>
  <r>
    <s v="M020"/>
    <s v="Madhup Biswas"/>
    <x v="10"/>
    <x v="0"/>
    <s v="Family"/>
    <d v="2024-05-05T00:00:00"/>
    <d v="2024-11-12T00:00:00"/>
    <n v="2500"/>
    <n v="21"/>
    <x v="3"/>
    <s v="Tanya Bajwa"/>
    <n v="6"/>
    <s v="YES"/>
    <n v="15000"/>
    <x v="1"/>
  </r>
  <r>
    <s v="M025"/>
    <s v="Tiya Rege"/>
    <x v="11"/>
    <x v="0"/>
    <s v="Premium"/>
    <d v="2023-12-26T00:00:00"/>
    <d v="2024-03-21T00:00:00"/>
    <n v="1800"/>
    <n v="17"/>
    <x v="3"/>
    <s v="Adira Brar"/>
    <n v="2"/>
    <s v="YES"/>
    <n v="3600"/>
    <x v="0"/>
  </r>
  <r>
    <s v="M030"/>
    <s v="Taran Vyas"/>
    <x v="3"/>
    <x v="1"/>
    <s v="Family"/>
    <d v="2025-01-10T00:00:00"/>
    <d v="2025-03-29T00:00:00"/>
    <n v="2500"/>
    <n v="23"/>
    <x v="4"/>
    <s v="Nakul Balakrishnan"/>
    <n v="2"/>
    <s v="YES"/>
    <n v="5000"/>
    <x v="2"/>
  </r>
  <r>
    <s v="M031"/>
    <s v="Jiya Baral"/>
    <x v="12"/>
    <x v="1"/>
    <s v="Basic"/>
    <d v="2023-06-11T00:00:00"/>
    <d v="2024-12-30T00:00:00"/>
    <n v="800"/>
    <n v="9"/>
    <x v="5"/>
    <s v="Darshit Sidhu"/>
    <n v="18"/>
    <s v="YES"/>
    <n v="14400"/>
    <x v="0"/>
  </r>
  <r>
    <s v="M034"/>
    <s v="Hrishita Shroff"/>
    <x v="13"/>
    <x v="0"/>
    <s v="Premium"/>
    <d v="2024-10-23T00:00:00"/>
    <d v="2025-03-05T00:00:00"/>
    <n v="1800"/>
    <n v="23"/>
    <x v="1"/>
    <s v="Riya Dugal"/>
    <n v="4"/>
    <s v="YES"/>
    <n v="7200"/>
    <x v="1"/>
  </r>
  <r>
    <s v="M007"/>
    <s v="Zara Bains"/>
    <x v="14"/>
    <x v="1"/>
    <s v="Basic"/>
    <d v="2024-10-23T00:00:00"/>
    <d v="2025-01-20T00:00:00"/>
    <n v="800"/>
    <n v="25"/>
    <x v="1"/>
    <m/>
    <n v="2"/>
    <s v="NO"/>
    <n v="1600"/>
    <x v="2"/>
  </r>
  <r>
    <s v="M008"/>
    <s v="Uthkarsh Baral"/>
    <x v="15"/>
    <x v="0"/>
    <s v="Premium"/>
    <d v="2024-06-07T00:00:00"/>
    <d v="2024-09-28T00:00:00"/>
    <n v="1800"/>
    <n v="28"/>
    <x v="4"/>
    <m/>
    <n v="3"/>
    <s v="NO"/>
    <n v="5400"/>
    <x v="2"/>
  </r>
  <r>
    <s v="M013"/>
    <s v="Purab Reddy"/>
    <x v="8"/>
    <x v="1"/>
    <s v="Premium"/>
    <d v="2024-09-21T00:00:00"/>
    <d v="2024-12-15T00:00:00"/>
    <n v="1800"/>
    <n v="22"/>
    <x v="4"/>
    <m/>
    <n v="2"/>
    <s v="NO"/>
    <n v="3600"/>
    <x v="0"/>
  </r>
  <r>
    <s v="M014"/>
    <s v="Tiya Soni"/>
    <x v="16"/>
    <x v="0"/>
    <s v="Standard"/>
    <d v="2023-05-19T00:00:00"/>
    <d v="2023-11-12T00:00:00"/>
    <n v="1200"/>
    <n v="28"/>
    <x v="3"/>
    <m/>
    <n v="5"/>
    <s v="NO"/>
    <n v="6000"/>
    <x v="2"/>
  </r>
  <r>
    <s v="M015"/>
    <s v="Zara Dugar"/>
    <x v="17"/>
    <x v="1"/>
    <s v="Basic"/>
    <d v="2024-02-11T00:00:00"/>
    <d v="2024-09-05T00:00:00"/>
    <n v="800"/>
    <n v="8"/>
    <x v="2"/>
    <m/>
    <n v="6"/>
    <s v="NO"/>
    <n v="4800"/>
    <x v="2"/>
  </r>
  <r>
    <s v="M016"/>
    <s v="Lakshit Mander"/>
    <x v="16"/>
    <x v="0"/>
    <s v="Family"/>
    <d v="2025-02-14T00:00:00"/>
    <d v="2025-03-16T00:00:00"/>
    <n v="2500"/>
    <n v="14"/>
    <x v="4"/>
    <m/>
    <n v="1"/>
    <s v="NO"/>
    <n v="2500"/>
    <x v="2"/>
  </r>
  <r>
    <s v="M017"/>
    <s v="Neysa Krish"/>
    <x v="18"/>
    <x v="0"/>
    <s v="Standard"/>
    <d v="2024-02-07T00:00:00"/>
    <d v="2025-01-28T00:00:00"/>
    <n v="1200"/>
    <n v="25"/>
    <x v="2"/>
    <m/>
    <n v="11"/>
    <s v="NO"/>
    <n v="13200"/>
    <x v="2"/>
  </r>
  <r>
    <s v="M018"/>
    <s v="Prerak Boase"/>
    <x v="19"/>
    <x v="1"/>
    <s v="Family"/>
    <d v="2023-10-14T00:00:00"/>
    <d v="2024-12-23T00:00:00"/>
    <n v="2500"/>
    <n v="13"/>
    <x v="5"/>
    <m/>
    <n v="14"/>
    <s v="NO"/>
    <n v="35000"/>
    <x v="0"/>
  </r>
  <r>
    <s v="M019"/>
    <s v="Siya Master"/>
    <x v="1"/>
    <x v="1"/>
    <s v="Basic"/>
    <d v="2024-03-03T00:00:00"/>
    <d v="2025-01-07T00:00:00"/>
    <n v="800"/>
    <n v="26"/>
    <x v="3"/>
    <m/>
    <n v="10"/>
    <s v="NO"/>
    <n v="8000"/>
    <x v="1"/>
  </r>
  <r>
    <s v="M021"/>
    <s v="Indrans Ratti"/>
    <x v="20"/>
    <x v="1"/>
    <s v="Premium"/>
    <d v="2023-08-08T00:00:00"/>
    <d v="2025-01-17T00:00:00"/>
    <n v="1800"/>
    <n v="19"/>
    <x v="3"/>
    <m/>
    <n v="17"/>
    <s v="NO"/>
    <n v="30600"/>
    <x v="0"/>
  </r>
  <r>
    <s v="M022"/>
    <s v="Kimaya Balay"/>
    <x v="21"/>
    <x v="1"/>
    <s v="Premium"/>
    <d v="2024-01-29T00:00:00"/>
    <d v="2024-11-20T00:00:00"/>
    <n v="1800"/>
    <n v="5"/>
    <x v="0"/>
    <m/>
    <n v="9"/>
    <s v="NO"/>
    <n v="16200"/>
    <x v="1"/>
  </r>
  <r>
    <s v="M023"/>
    <s v="Eva Dass"/>
    <x v="8"/>
    <x v="0"/>
    <s v="Premium"/>
    <d v="2024-06-08T00:00:00"/>
    <d v="2024-06-12T00:00:00"/>
    <n v="1800"/>
    <n v="18"/>
    <x v="5"/>
    <m/>
    <n v="0"/>
    <s v="NO"/>
    <n v="0"/>
    <x v="0"/>
  </r>
  <r>
    <s v="M024"/>
    <s v="Pihu Wali"/>
    <x v="22"/>
    <x v="1"/>
    <s v="Standard"/>
    <d v="2024-05-27T00:00:00"/>
    <d v="2025-03-14T00:00:00"/>
    <n v="1200"/>
    <n v="6"/>
    <x v="0"/>
    <m/>
    <n v="9"/>
    <s v="NO"/>
    <n v="10800"/>
    <x v="1"/>
  </r>
  <r>
    <s v="M026"/>
    <s v="Aarav Sen"/>
    <x v="6"/>
    <x v="1"/>
    <s v="Standard"/>
    <d v="2025-02-14T00:00:00"/>
    <d v="2025-03-11T00:00:00"/>
    <n v="1200"/>
    <n v="3"/>
    <x v="5"/>
    <m/>
    <n v="0"/>
    <s v="NO"/>
    <n v="0"/>
    <x v="2"/>
  </r>
  <r>
    <s v="M027"/>
    <s v="Dishani Bera"/>
    <x v="2"/>
    <x v="0"/>
    <s v="Family"/>
    <d v="2025-02-10T00:00:00"/>
    <d v="2025-03-10T00:00:00"/>
    <n v="2500"/>
    <n v="28"/>
    <x v="3"/>
    <m/>
    <n v="0"/>
    <s v="NO"/>
    <n v="0"/>
    <x v="1"/>
  </r>
  <r>
    <s v="M028"/>
    <s v="Indrans Grover"/>
    <x v="11"/>
    <x v="0"/>
    <s v="Standard"/>
    <d v="2024-11-18T00:00:00"/>
    <d v="2024-12-19T00:00:00"/>
    <n v="1200"/>
    <n v="23"/>
    <x v="1"/>
    <m/>
    <n v="1"/>
    <s v="NO"/>
    <n v="1200"/>
    <x v="0"/>
  </r>
  <r>
    <s v="M029"/>
    <s v="Kismat Edwin"/>
    <x v="23"/>
    <x v="1"/>
    <s v="Family"/>
    <d v="2024-04-19T00:00:00"/>
    <d v="2024-04-26T00:00:00"/>
    <n v="2500"/>
    <n v="8"/>
    <x v="2"/>
    <m/>
    <n v="0"/>
    <s v="NO"/>
    <n v="0"/>
    <x v="1"/>
  </r>
  <r>
    <s v="M032"/>
    <s v="Gokul Sahni"/>
    <x v="24"/>
    <x v="0"/>
    <s v="Standard"/>
    <d v="2024-04-09T00:00:00"/>
    <d v="2024-11-08T00:00:00"/>
    <n v="1200"/>
    <n v="2"/>
    <x v="3"/>
    <m/>
    <n v="7"/>
    <s v="NO"/>
    <n v="8400"/>
    <x v="1"/>
  </r>
  <r>
    <s v="M033"/>
    <s v="Prerak Lalla"/>
    <x v="25"/>
    <x v="0"/>
    <s v="Basic"/>
    <d v="2025-02-11T00:00:00"/>
    <d v="2025-03-24T00:00:00"/>
    <n v="800"/>
    <n v="30"/>
    <x v="3"/>
    <m/>
    <n v="1"/>
    <s v="NO"/>
    <n v="800"/>
    <x v="1"/>
  </r>
  <r>
    <s v="M035"/>
    <s v="Oorja Sachar"/>
    <x v="1"/>
    <x v="1"/>
    <s v="Standard"/>
    <d v="2024-01-21T00:00:00"/>
    <d v="2024-12-26T00:00:00"/>
    <n v="1200"/>
    <n v="27"/>
    <x v="1"/>
    <m/>
    <n v="11"/>
    <s v="NO"/>
    <n v="13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F2FBD-9E45-4FB1-A15C-431CAA5D373E}" name="PivotTable3"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A1:B4" firstHeaderRow="1" firstDataRow="1" firstDataCol="1"/>
  <pivotFields count="13">
    <pivotField showAll="0"/>
    <pivotField showAll="0">
      <items count="36">
        <item x="28"/>
        <item x="0"/>
        <item x="2"/>
        <item x="7"/>
        <item x="29"/>
        <item x="5"/>
        <item x="26"/>
        <item x="32"/>
        <item x="14"/>
        <item x="30"/>
        <item x="24"/>
        <item x="8"/>
        <item x="13"/>
        <item x="6"/>
        <item x="25"/>
        <item x="31"/>
        <item x="20"/>
        <item x="10"/>
        <item x="3"/>
        <item x="9"/>
        <item x="21"/>
        <item x="34"/>
        <item x="1"/>
        <item x="27"/>
        <item x="22"/>
        <item x="33"/>
        <item x="17"/>
        <item x="4"/>
        <item x="23"/>
        <item x="12"/>
        <item x="11"/>
        <item x="18"/>
        <item x="16"/>
        <item x="15"/>
        <item x="19"/>
        <item t="default"/>
      </items>
    </pivotField>
    <pivotField showAll="0"/>
    <pivotField showAll="0"/>
    <pivotField showAll="0"/>
    <pivotField numFmtId="164" showAll="0"/>
    <pivotField numFmtId="164" showAll="0"/>
    <pivotField dataField="1" showAll="0">
      <items count="5">
        <item x="0"/>
        <item x="1"/>
        <item x="3"/>
        <item x="2"/>
        <item t="default"/>
      </items>
    </pivotField>
    <pivotField showAll="0"/>
    <pivotField showAll="0"/>
    <pivotField showAll="0"/>
    <pivotField numFmtId="3" showAll="0"/>
    <pivotField axis="axisRow" showAll="0">
      <items count="3">
        <item x="1"/>
        <item x="0"/>
        <item t="default"/>
      </items>
    </pivotField>
  </pivotFields>
  <rowFields count="1">
    <field x="12"/>
  </rowFields>
  <rowItems count="3">
    <i>
      <x/>
    </i>
    <i>
      <x v="1"/>
    </i>
    <i t="grand">
      <x/>
    </i>
  </rowItems>
  <colItems count="1">
    <i/>
  </colItems>
  <dataFields count="1">
    <dataField name="Average of Monthly_Fee" fld="7"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689E1F-A21A-42DF-915E-F69DFB463BB2}"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H7" firstHeaderRow="1" firstDataRow="2" firstDataCol="1"/>
  <pivotFields count="3">
    <pivotField axis="axisRow" allDrilled="1" subtotalTop="0" showAll="0" dataSourceSort="1" defaultSubtotal="0" defaultAttributeDrillState="1">
      <items count="2">
        <item s="1" x="0"/>
        <item s="1" x="1"/>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3">
    <i>
      <x/>
    </i>
    <i>
      <x v="1"/>
    </i>
    <i t="grand">
      <x/>
    </i>
  </rowItems>
  <colFields count="1">
    <field x="1"/>
  </colFields>
  <colItems count="7">
    <i>
      <x/>
    </i>
    <i>
      <x v="1"/>
    </i>
    <i>
      <x v="2"/>
    </i>
    <i>
      <x v="3"/>
    </i>
    <i>
      <x v="4"/>
    </i>
    <i>
      <x v="5"/>
    </i>
    <i t="grand">
      <x/>
    </i>
  </colItems>
  <dataFields count="1">
    <dataField name="Sum of Total_Revenue" fld="2" baseField="0" baseItem="0"/>
  </dataFields>
  <formats count="20">
    <format dxfId="851">
      <pivotArea type="all" dataOnly="0" outline="0" fieldPosition="0"/>
    </format>
    <format dxfId="850">
      <pivotArea outline="0" collapsedLevelsAreSubtotals="1" fieldPosition="0"/>
    </format>
    <format dxfId="849">
      <pivotArea type="origin" dataOnly="0" labelOnly="1" outline="0" fieldPosition="0"/>
    </format>
    <format dxfId="848">
      <pivotArea field="1" type="button" dataOnly="0" labelOnly="1" outline="0" axis="axisCol" fieldPosition="0"/>
    </format>
    <format dxfId="847">
      <pivotArea type="topRight" dataOnly="0" labelOnly="1" outline="0" fieldPosition="0"/>
    </format>
    <format dxfId="846">
      <pivotArea field="0" type="button" dataOnly="0" labelOnly="1" outline="0" axis="axisRow" fieldPosition="0"/>
    </format>
    <format dxfId="845">
      <pivotArea dataOnly="0" labelOnly="1" fieldPosition="0">
        <references count="1">
          <reference field="0" count="0"/>
        </references>
      </pivotArea>
    </format>
    <format dxfId="844">
      <pivotArea dataOnly="0" labelOnly="1" grandRow="1" outline="0" fieldPosition="0"/>
    </format>
    <format dxfId="843">
      <pivotArea dataOnly="0" labelOnly="1" fieldPosition="0">
        <references count="1">
          <reference field="1" count="0"/>
        </references>
      </pivotArea>
    </format>
    <format dxfId="842">
      <pivotArea dataOnly="0" labelOnly="1" grandCol="1" outline="0" fieldPosition="0"/>
    </format>
    <format dxfId="841">
      <pivotArea type="all" dataOnly="0" outline="0" fieldPosition="0"/>
    </format>
    <format dxfId="840">
      <pivotArea outline="0" collapsedLevelsAreSubtotals="1" fieldPosition="0"/>
    </format>
    <format dxfId="839">
      <pivotArea type="origin" dataOnly="0" labelOnly="1" outline="0" fieldPosition="0"/>
    </format>
    <format dxfId="838">
      <pivotArea field="1" type="button" dataOnly="0" labelOnly="1" outline="0" axis="axisCol" fieldPosition="0"/>
    </format>
    <format dxfId="837">
      <pivotArea type="topRight" dataOnly="0" labelOnly="1" outline="0" fieldPosition="0"/>
    </format>
    <format dxfId="836">
      <pivotArea field="0" type="button" dataOnly="0" labelOnly="1" outline="0" axis="axisRow" fieldPosition="0"/>
    </format>
    <format dxfId="835">
      <pivotArea dataOnly="0" labelOnly="1" fieldPosition="0">
        <references count="1">
          <reference field="0" count="0"/>
        </references>
      </pivotArea>
    </format>
    <format dxfId="834">
      <pivotArea dataOnly="0" labelOnly="1" grandRow="1" outline="0" fieldPosition="0"/>
    </format>
    <format dxfId="833">
      <pivotArea dataOnly="0" labelOnly="1" fieldPosition="0">
        <references count="1">
          <reference field="1" count="0"/>
        </references>
      </pivotArea>
    </format>
    <format dxfId="832">
      <pivotArea dataOnly="0" labelOnly="1" grandCol="1" outline="0"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Dark7" showRowHeaders="1" showColHeaders="1" showRowStripes="1" showColStripes="0" showLastColumn="1"/>
  <rowHierarchiesUsage count="1">
    <rowHierarchyUsage hierarchyUsage="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vanced_Fitness_Members_India.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71018B-E359-42F9-A678-DA7E9F377BC3}"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33" firstHeaderRow="1" firstDataRow="2" firstDataCol="1"/>
  <pivotFields count="15">
    <pivotField showAll="0"/>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axis="axisRow" showAll="0" sortType="descending">
      <items count="7">
        <item x="1"/>
        <item x="3"/>
        <item x="4"/>
        <item x="2"/>
        <item x="5"/>
        <item x="0"/>
        <item t="default"/>
      </items>
    </pivotField>
    <pivotField showAll="0">
      <items count="17">
        <item x="11"/>
        <item h="1" x="13"/>
        <item h="1" x="0"/>
        <item h="1" x="9"/>
        <item h="1" x="2"/>
        <item h="1" x="1"/>
        <item h="1" x="4"/>
        <item h="1" x="12"/>
        <item h="1" x="6"/>
        <item h="1" x="7"/>
        <item h="1" x="8"/>
        <item h="1" x="14"/>
        <item h="1" x="5"/>
        <item h="1" x="10"/>
        <item h="1" x="3"/>
        <item h="1" x="15"/>
        <item t="default"/>
      </items>
    </pivotField>
    <pivotField numFmtId="3" showAll="0"/>
    <pivotField axis="axisCol" showAll="0">
      <items count="3">
        <item x="1"/>
        <item x="0"/>
        <item t="default"/>
      </items>
    </pivotField>
    <pivotField dataField="1" showAll="0">
      <items count="24">
        <item x="1"/>
        <item x="22"/>
        <item x="20"/>
        <item x="5"/>
        <item x="6"/>
        <item x="13"/>
        <item x="3"/>
        <item x="0"/>
        <item x="10"/>
        <item x="12"/>
        <item x="7"/>
        <item x="2"/>
        <item x="16"/>
        <item x="21"/>
        <item x="19"/>
        <item x="14"/>
        <item x="11"/>
        <item x="9"/>
        <item x="8"/>
        <item x="18"/>
        <item x="4"/>
        <item x="17"/>
        <item x="15"/>
        <item t="default"/>
      </items>
    </pivotField>
    <pivotField dragToRow="0" dragToCol="0" dragToPage="0" showAll="0" defaultSubtotal="0"/>
  </pivotFields>
  <rowFields count="2">
    <field x="9"/>
    <field x="4"/>
  </rowFields>
  <rowItems count="29">
    <i>
      <x/>
    </i>
    <i r="1">
      <x/>
    </i>
    <i r="1">
      <x v="2"/>
    </i>
    <i r="1">
      <x v="3"/>
    </i>
    <i>
      <x v="1"/>
    </i>
    <i r="1">
      <x/>
    </i>
    <i r="1">
      <x v="1"/>
    </i>
    <i r="1">
      <x v="2"/>
    </i>
    <i r="1">
      <x v="3"/>
    </i>
    <i>
      <x v="2"/>
    </i>
    <i r="1">
      <x/>
    </i>
    <i r="1">
      <x v="1"/>
    </i>
    <i r="1">
      <x v="2"/>
    </i>
    <i r="1">
      <x v="3"/>
    </i>
    <i>
      <x v="3"/>
    </i>
    <i r="1">
      <x/>
    </i>
    <i r="1">
      <x v="1"/>
    </i>
    <i r="1">
      <x v="3"/>
    </i>
    <i>
      <x v="4"/>
    </i>
    <i r="1">
      <x/>
    </i>
    <i r="1">
      <x v="1"/>
    </i>
    <i r="1">
      <x v="2"/>
    </i>
    <i r="1">
      <x v="3"/>
    </i>
    <i>
      <x v="5"/>
    </i>
    <i r="1">
      <x/>
    </i>
    <i r="1">
      <x v="1"/>
    </i>
    <i r="1">
      <x v="2"/>
    </i>
    <i r="1">
      <x v="3"/>
    </i>
    <i t="grand">
      <x/>
    </i>
  </rowItems>
  <colFields count="1">
    <field x="12"/>
  </colFields>
  <colItems count="3">
    <i>
      <x/>
    </i>
    <i>
      <x v="1"/>
    </i>
    <i t="grand">
      <x/>
    </i>
  </colItems>
  <dataFields count="1">
    <dataField name="Sum of Total_Revenue" fld="13" baseField="0" baseItem="0"/>
  </dataFields>
  <formats count="24">
    <format dxfId="795">
      <pivotArea outline="0" collapsedLevelsAreSubtotals="1" fieldPosition="0"/>
    </format>
    <format dxfId="794">
      <pivotArea field="4" type="button" dataOnly="0" labelOnly="1" outline="0" axis="axisRow" fieldPosition="1"/>
    </format>
    <format dxfId="793">
      <pivotArea field="12" type="button" dataOnly="0" labelOnly="1" outline="0" axis="axisCol" fieldPosition="0"/>
    </format>
    <format dxfId="792">
      <pivotArea type="topRight" dataOnly="0" labelOnly="1" outline="0" fieldPosition="0"/>
    </format>
    <format dxfId="791">
      <pivotArea dataOnly="0" labelOnly="1" fieldPosition="0">
        <references count="1">
          <reference field="4" count="0"/>
        </references>
      </pivotArea>
    </format>
    <format dxfId="790">
      <pivotArea dataOnly="0" labelOnly="1" fieldPosition="0">
        <references count="1">
          <reference field="4" count="0" defaultSubtotal="1"/>
        </references>
      </pivotArea>
    </format>
    <format dxfId="789">
      <pivotArea dataOnly="0" labelOnly="1" grandCol="1" outline="0" fieldPosition="0"/>
    </format>
    <format dxfId="788">
      <pivotArea dataOnly="0" labelOnly="1" fieldPosition="0">
        <references count="2">
          <reference field="4" count="1" selected="0">
            <x v="0"/>
          </reference>
          <reference field="12" count="0"/>
        </references>
      </pivotArea>
    </format>
    <format dxfId="787">
      <pivotArea dataOnly="0" labelOnly="1" fieldPosition="0">
        <references count="2">
          <reference field="4" count="1" selected="0">
            <x v="1"/>
          </reference>
          <reference field="12" count="0"/>
        </references>
      </pivotArea>
    </format>
    <format dxfId="786">
      <pivotArea dataOnly="0" labelOnly="1" fieldPosition="0">
        <references count="2">
          <reference field="4" count="1" selected="0">
            <x v="2"/>
          </reference>
          <reference field="12" count="0"/>
        </references>
      </pivotArea>
    </format>
    <format dxfId="785">
      <pivotArea dataOnly="0" labelOnly="1" fieldPosition="0">
        <references count="2">
          <reference field="4" count="1" selected="0">
            <x v="3"/>
          </reference>
          <reference field="12" count="0"/>
        </references>
      </pivotArea>
    </format>
    <format dxfId="784">
      <pivotArea outline="0" collapsedLevelsAreSubtotals="1" fieldPosition="0"/>
    </format>
    <format dxfId="783">
      <pivotArea field="4" type="button" dataOnly="0" labelOnly="1" outline="0" axis="axisRow" fieldPosition="1"/>
    </format>
    <format dxfId="782">
      <pivotArea field="12" type="button" dataOnly="0" labelOnly="1" outline="0" axis="axisCol" fieldPosition="0"/>
    </format>
    <format dxfId="781">
      <pivotArea type="topRight" dataOnly="0" labelOnly="1" outline="0" fieldPosition="0"/>
    </format>
    <format dxfId="780">
      <pivotArea dataOnly="0" labelOnly="1" fieldPosition="0">
        <references count="1">
          <reference field="4" count="0"/>
        </references>
      </pivotArea>
    </format>
    <format dxfId="779">
      <pivotArea dataOnly="0" labelOnly="1" fieldPosition="0">
        <references count="1">
          <reference field="4" count="0" defaultSubtotal="1"/>
        </references>
      </pivotArea>
    </format>
    <format dxfId="778">
      <pivotArea dataOnly="0" labelOnly="1" grandCol="1" outline="0" fieldPosition="0"/>
    </format>
    <format dxfId="777">
      <pivotArea dataOnly="0" labelOnly="1" fieldPosition="0">
        <references count="2">
          <reference field="4" count="1" selected="0">
            <x v="0"/>
          </reference>
          <reference field="12" count="0"/>
        </references>
      </pivotArea>
    </format>
    <format dxfId="776">
      <pivotArea dataOnly="0" labelOnly="1" fieldPosition="0">
        <references count="2">
          <reference field="4" count="1" selected="0">
            <x v="1"/>
          </reference>
          <reference field="12" count="0"/>
        </references>
      </pivotArea>
    </format>
    <format dxfId="775">
      <pivotArea dataOnly="0" labelOnly="1" fieldPosition="0">
        <references count="2">
          <reference field="4" count="1" selected="0">
            <x v="2"/>
          </reference>
          <reference field="12" count="0"/>
        </references>
      </pivotArea>
    </format>
    <format dxfId="774">
      <pivotArea dataOnly="0" labelOnly="1" fieldPosition="0">
        <references count="2">
          <reference field="4" count="1" selected="0">
            <x v="3"/>
          </reference>
          <reference field="12" count="0"/>
        </references>
      </pivotArea>
    </format>
    <format dxfId="773">
      <pivotArea collapsedLevelsAreSubtotals="1" fieldPosition="0">
        <references count="2">
          <reference field="4" count="1">
            <x v="1"/>
          </reference>
          <reference field="9" count="1" selected="0">
            <x v="4"/>
          </reference>
        </references>
      </pivotArea>
    </format>
    <format dxfId="772">
      <pivotArea dataOnly="0" labelOnly="1" fieldPosition="0">
        <references count="2">
          <reference field="4" count="1">
            <x v="1"/>
          </reference>
          <reference field="9" count="1" selected="0">
            <x v="4"/>
          </reference>
        </references>
      </pivotArea>
    </format>
  </format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38DA77-715B-4B20-A977-9505EB60FA1E}"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3:I33" firstHeaderRow="1" firstDataRow="2" firstDataCol="1"/>
  <pivotFields count="15">
    <pivotField showAll="0"/>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items count="17">
        <item x="11"/>
        <item h="1" x="13"/>
        <item h="1" x="0"/>
        <item h="1" x="9"/>
        <item h="1" x="2"/>
        <item h="1" x="1"/>
        <item h="1" x="4"/>
        <item h="1" x="12"/>
        <item h="1" x="6"/>
        <item h="1" x="7"/>
        <item h="1" x="8"/>
        <item h="1" x="14"/>
        <item h="1" x="5"/>
        <item h="1" x="10"/>
        <item h="1" x="3"/>
        <item h="1" x="15"/>
        <item t="default"/>
      </items>
    </pivotField>
    <pivotField numFmtId="3" showAll="0"/>
    <pivotField axis="axisCol" showAll="0">
      <items count="3">
        <item x="1"/>
        <item x="0"/>
        <item t="default"/>
      </items>
    </pivotField>
    <pivotField dataField="1" showAll="0"/>
    <pivotField dragToRow="0" dragToCol="0" dragToPage="0" showAll="0" defaultSubtotal="0"/>
  </pivotFields>
  <rowFields count="2">
    <field x="9"/>
    <field x="4"/>
  </rowFields>
  <rowItems count="29">
    <i>
      <x/>
    </i>
    <i r="1">
      <x/>
    </i>
    <i r="1">
      <x v="1"/>
    </i>
    <i r="1">
      <x v="2"/>
    </i>
    <i r="1">
      <x v="3"/>
    </i>
    <i>
      <x v="1"/>
    </i>
    <i r="1">
      <x/>
    </i>
    <i r="1">
      <x v="1"/>
    </i>
    <i r="1">
      <x v="2"/>
    </i>
    <i r="1">
      <x v="3"/>
    </i>
    <i>
      <x v="2"/>
    </i>
    <i r="1">
      <x/>
    </i>
    <i r="1">
      <x v="1"/>
    </i>
    <i r="1">
      <x v="3"/>
    </i>
    <i>
      <x v="3"/>
    </i>
    <i r="1">
      <x/>
    </i>
    <i r="1">
      <x v="1"/>
    </i>
    <i r="1">
      <x v="2"/>
    </i>
    <i r="1">
      <x v="3"/>
    </i>
    <i>
      <x v="4"/>
    </i>
    <i r="1">
      <x/>
    </i>
    <i r="1">
      <x v="1"/>
    </i>
    <i r="1">
      <x v="2"/>
    </i>
    <i r="1">
      <x v="3"/>
    </i>
    <i>
      <x v="5"/>
    </i>
    <i r="1">
      <x/>
    </i>
    <i r="1">
      <x v="2"/>
    </i>
    <i r="1">
      <x v="3"/>
    </i>
    <i t="grand">
      <x/>
    </i>
  </rowItems>
  <colFields count="1">
    <field x="12"/>
  </colFields>
  <colItems count="3">
    <i>
      <x/>
    </i>
    <i>
      <x v="1"/>
    </i>
    <i t="grand">
      <x/>
    </i>
  </colItems>
  <dataFields count="1">
    <dataField name="Average of Total_Revenue" fld="13" subtotal="average" baseField="9" baseItem="0"/>
  </dataFields>
  <formats count="1">
    <format dxfId="796">
      <pivotArea outline="0" collapsedLevelsAreSubtotals="1" fieldPosition="0"/>
    </format>
  </formats>
  <chartFormats count="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1BD5D1-FD29-4AC6-BD10-1E9C0E2321B9}"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3" firstHeaderRow="1" firstDataRow="1" firstDataCol="1"/>
  <pivotFields count="15">
    <pivotField dataField="1" showAll="0"/>
    <pivotField showAll="0"/>
    <pivotField showAll="0">
      <items count="27">
        <item x="4"/>
        <item x="24"/>
        <item x="25"/>
        <item x="13"/>
        <item x="2"/>
        <item x="22"/>
        <item x="21"/>
        <item x="1"/>
        <item x="10"/>
        <item x="23"/>
        <item x="3"/>
        <item x="18"/>
        <item x="9"/>
        <item x="7"/>
        <item x="16"/>
        <item x="5"/>
        <item x="14"/>
        <item x="6"/>
        <item x="15"/>
        <item x="17"/>
        <item x="8"/>
        <item x="12"/>
        <item x="11"/>
        <item x="19"/>
        <item x="20"/>
        <item x="0"/>
        <item t="default"/>
      </items>
    </pivotField>
    <pivotField showAll="0"/>
    <pivotField showAll="0"/>
    <pivotField numFmtId="164" showAll="0"/>
    <pivotField numFmtId="164" showAll="0"/>
    <pivotField showAll="0"/>
    <pivotField showAll="0"/>
    <pivotField showAll="0"/>
    <pivotField showAll="0"/>
    <pivotField numFmtId="3" showAll="0"/>
    <pivotField showAll="0"/>
    <pivotField showAll="0"/>
    <pivotField axis="axisRow" showAll="0" sortType="ascending">
      <items count="4">
        <item x="2"/>
        <item x="0"/>
        <item x="1"/>
        <item t="default"/>
      </items>
    </pivotField>
  </pivotFields>
  <rowFields count="1">
    <field x="14"/>
  </rowFields>
  <rowItems count="4">
    <i>
      <x/>
    </i>
    <i>
      <x v="1"/>
    </i>
    <i>
      <x v="2"/>
    </i>
    <i t="grand">
      <x/>
    </i>
  </rowItems>
  <colItems count="1">
    <i/>
  </colItems>
  <dataFields count="1">
    <dataField name="Count of Column1" fld="0" subtotal="count"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E9D146-1DF9-43BF-AF7A-878155D698B8}"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H5" firstHeaderRow="1" firstDataRow="2" firstDataCol="1"/>
  <pivotFields count="15">
    <pivotField dataField="1" showAll="0"/>
    <pivotField showAll="0"/>
    <pivotField showAll="0"/>
    <pivotField axis="axisRow" showAll="0">
      <items count="3">
        <item x="1"/>
        <item x="0"/>
        <item t="default"/>
      </items>
    </pivotField>
    <pivotField showAll="0"/>
    <pivotField numFmtId="164" showAll="0"/>
    <pivotField numFmtId="164" showAll="0"/>
    <pivotField showAll="0"/>
    <pivotField showAll="0"/>
    <pivotField axis="axisCol" showAll="0">
      <items count="7">
        <item x="0"/>
        <item x="5"/>
        <item x="2"/>
        <item x="4"/>
        <item x="3"/>
        <item x="1"/>
        <item t="default"/>
      </items>
    </pivotField>
    <pivotField showAll="0"/>
    <pivotField numFmtId="3" showAll="0"/>
    <pivotField showAll="0"/>
    <pivotField showAll="0"/>
    <pivotField showAll="0"/>
  </pivotFields>
  <rowFields count="1">
    <field x="3"/>
  </rowFields>
  <rowItems count="3">
    <i>
      <x/>
    </i>
    <i>
      <x v="1"/>
    </i>
    <i t="grand">
      <x/>
    </i>
  </rowItems>
  <colFields count="1">
    <field x="9"/>
  </colFields>
  <colItems count="7">
    <i>
      <x/>
    </i>
    <i>
      <x v="1"/>
    </i>
    <i>
      <x v="2"/>
    </i>
    <i>
      <x v="3"/>
    </i>
    <i>
      <x v="4"/>
    </i>
    <i>
      <x v="5"/>
    </i>
    <i t="grand">
      <x/>
    </i>
  </colItems>
  <dataFields count="1">
    <dataField name="Count of Column1" fld="0" subtotal="count" baseField="0" baseItem="0"/>
  </dataFields>
  <formats count="1">
    <format dxfId="0">
      <pivotArea type="all" dataOnly="0" outline="0"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1D059A04-4A4F-4E87-B083-8092746FA062}" sourceName="Membership_Type">
  <pivotTables>
    <pivotTable tabId="15" name="PivotTable2"/>
    <pivotTable tabId="15" name="PivotTable3"/>
  </pivotTables>
  <data>
    <tabular pivotCacheId="203428112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5ACB683-2B61-4453-B3DF-4D74E482ECB1}" sourceName="City">
  <pivotTables>
    <pivotTable tabId="15" name="PivotTable2"/>
    <pivotTable tabId="15" name="PivotTable3"/>
  </pivotTables>
  <data>
    <tabular pivotCacheId="2034281124">
      <items count="6">
        <i x="0" s="1"/>
        <i x="5"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28155EC1-0103-4946-A358-25FA8E81922C}" sourceName="Referred">
  <pivotTables>
    <pivotTable tabId="15" name="PivotTable2"/>
    <pivotTable tabId="15" name="PivotTable3"/>
  </pivotTables>
  <data>
    <tabular pivotCacheId="20342811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_Type" xr10:uid="{084A649E-1FF8-4FF4-A4D4-6445D2560E5E}" cache="Slicer_Membership_Type" caption="Membership_Type" rowHeight="241300"/>
  <slicer name="City" xr10:uid="{03117391-DEC0-4085-8124-3077057DDCEB}" cache="Slicer_City" caption="City" rowHeight="241300"/>
  <slicer name="Referred" xr10:uid="{0228E4E1-B91D-4E0A-A865-A40B10972E50}" cache="Slicer_Referred" caption="Referre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BB11E7-4E44-477C-B2D9-2531F371DFC4}" name="Table1" displayName="Table1" ref="A1:K36" totalsRowShown="0" headerRowDxfId="917" dataDxfId="915" headerRowBorderDxfId="916" tableBorderDxfId="914">
  <autoFilter ref="A1:K36" xr:uid="{A96D31FB-E18E-4E8C-9007-692F84B265A5}"/>
  <tableColumns count="11">
    <tableColumn id="1" xr3:uid="{EFC03D92-679C-45F3-AF82-9D08A8344C4F}" name="Column1" dataDxfId="913"/>
    <tableColumn id="2" xr3:uid="{A96BE1D0-3CF0-4DC3-B476-734EC17E787D}" name="Full_Name" dataDxfId="912"/>
    <tableColumn id="3" xr3:uid="{92AE0428-1256-4171-89C7-276763A9525A}" name="Age" dataDxfId="911"/>
    <tableColumn id="4" xr3:uid="{8CE18BB3-464E-4857-A986-12979D5696B2}" name="Gender" dataDxfId="910"/>
    <tableColumn id="5" xr3:uid="{D2F0D119-C7CB-4CFB-96D5-29170A72D439}" name="Membership_Type" dataDxfId="909"/>
    <tableColumn id="6" xr3:uid="{2439FF1C-C80A-4739-935B-D8B469FBAB29}" name="Start_Date" dataDxfId="908"/>
    <tableColumn id="7" xr3:uid="{BF605025-6497-49D3-8ABD-79EDBDE4F128}" name="End_Date" dataDxfId="907"/>
    <tableColumn id="8" xr3:uid="{76F7CFDB-2C8C-4786-8629-654432418D60}" name="Monthly_Fee" dataDxfId="906"/>
    <tableColumn id="9" xr3:uid="{68B1A0A3-92C4-4ED2-BF91-B5EC3A831D9F}" name="Attendance" dataDxfId="905"/>
    <tableColumn id="10" xr3:uid="{75072107-FFF6-4821-8F67-37716A78D5AC}" name="City" dataDxfId="904"/>
    <tableColumn id="11" xr3:uid="{DB514EAF-C6EC-44A3-B5AA-759A134F2747}" name="Referred_By" dataDxfId="9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E1EB7F-D0F0-4823-BB4F-32758D034489}" name="Table13" displayName="Table13" ref="A1:L36" totalsRowShown="0" headerRowDxfId="902" dataDxfId="900" headerRowBorderDxfId="901" tableBorderDxfId="899">
  <autoFilter ref="A1:L36" xr:uid="{A96D31FB-E18E-4E8C-9007-692F84B265A5}"/>
  <tableColumns count="12">
    <tableColumn id="1" xr3:uid="{A8613E67-D726-4F64-92D4-6A8B594F5C40}" name="Column1" dataDxfId="898"/>
    <tableColumn id="2" xr3:uid="{41C0E359-1FDE-46CA-B4D0-DA16424D91C7}" name="Full_Name" dataDxfId="897"/>
    <tableColumn id="3" xr3:uid="{CE203034-420F-4D6C-8D1E-5283BE0FF5E7}" name="Age" dataDxfId="896"/>
    <tableColumn id="4" xr3:uid="{5AEE7E2A-60DC-4E46-878C-F5338E900125}" name="Gender" dataDxfId="895"/>
    <tableColumn id="5" xr3:uid="{29468C29-6C8A-4890-83C7-69CF7CA97CF2}" name="Membership_Type" dataDxfId="894"/>
    <tableColumn id="6" xr3:uid="{774AAFA9-9008-45F8-8EE9-C455D08DCB9C}" name="Start_Date" dataDxfId="893"/>
    <tableColumn id="7" xr3:uid="{7BF1E817-BFB3-4D67-A7E6-FFB5095DA269}" name="End_Date" dataDxfId="892"/>
    <tableColumn id="8" xr3:uid="{895DAC1A-1D75-431F-9214-A7179069E563}" name="Monthly_Fee" dataDxfId="891"/>
    <tableColumn id="9" xr3:uid="{33157D68-F4E3-4A1B-97CE-867767045E02}" name="Attendance" dataDxfId="890"/>
    <tableColumn id="10" xr3:uid="{31CC13BA-8F34-47A1-A2FD-3883D0E87215}" name="City" dataDxfId="889"/>
    <tableColumn id="11" xr3:uid="{89C891BB-276B-422C-B823-21FA4A06CCA5}" name="Referred_By" dataDxfId="888"/>
    <tableColumn id="12" xr3:uid="{3E834E5E-96C9-493C-BE89-6040F95B5B03}" name="Membership_Duration_Months" dataDxfId="887">
      <calculatedColumnFormula>ROUNDDOWN((Table13[[#This Row],[End_Date]]-Table13[[#This Row],[Start_Date]])/30,0)</calculatedColumnFormula>
    </tableColumn>
  </tableColumns>
  <tableStyleInfo name="TableStyleMedium2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4878B6-C996-4777-828E-748A95590892}" name="Table134" displayName="Table134" ref="A1:M36" totalsRowShown="0" headerRowDxfId="886" dataDxfId="884" headerRowBorderDxfId="885" tableBorderDxfId="883">
  <autoFilter ref="A1:M36" xr:uid="{A96D31FB-E18E-4E8C-9007-692F84B265A5}"/>
  <sortState ref="A2:M36">
    <sortCondition descending="1" ref="M1:M36"/>
  </sortState>
  <tableColumns count="13">
    <tableColumn id="1" xr3:uid="{00ECEDE5-63F9-4F3F-B90B-6B8EB6F5FAE3}" name="Column1" dataDxfId="882"/>
    <tableColumn id="2" xr3:uid="{1E947A42-64E2-4430-8D1C-7F17E482C42F}" name="Full_Name" dataDxfId="881"/>
    <tableColumn id="3" xr3:uid="{8C3BD966-2B53-45E1-97B0-A77F876C1753}" name="Age" dataDxfId="880"/>
    <tableColumn id="4" xr3:uid="{2CA7776C-7542-4A01-A175-29F8CAFA19E4}" name="Gender" dataDxfId="879"/>
    <tableColumn id="5" xr3:uid="{9CDA1A31-6E22-4328-9C79-2946194473BC}" name="Membership_Type" dataDxfId="878"/>
    <tableColumn id="6" xr3:uid="{9D486C13-9166-4CCD-BA20-D52113495067}" name="Start_Date" dataDxfId="877"/>
    <tableColumn id="7" xr3:uid="{CE9F63F1-1756-48C8-B9E7-9628A29118B3}" name="End_Date" dataDxfId="876"/>
    <tableColumn id="8" xr3:uid="{5113A757-9FD1-43CB-81EC-B28C3B046D23}" name="Monthly_Fee" dataDxfId="875"/>
    <tableColumn id="9" xr3:uid="{D4D86EDD-99AB-4F00-9893-CD15FEC8B57E}" name="Attendance" dataDxfId="874"/>
    <tableColumn id="10" xr3:uid="{3D8DDA64-5B64-4724-9594-CF63C034240C}" name="City" dataDxfId="873"/>
    <tableColumn id="11" xr3:uid="{95C9E96C-9E68-4E2D-9CDC-95A14732B3BF}" name="Referred_By" dataDxfId="872"/>
    <tableColumn id="12" xr3:uid="{CFD6C912-BCF2-4467-A1D5-AF9F472C029A}" name="Membership_Duration_Months" dataDxfId="871">
      <calculatedColumnFormula>ROUNDDOWN((Table134[[#This Row],[End_Date]]-Table134[[#This Row],[Start_Date]])/30,0)</calculatedColumnFormula>
    </tableColumn>
    <tableColumn id="13" xr3:uid="{6F82D95C-10C0-4942-AFC5-B828B51D16A1}" name="Referred" dataDxfId="870">
      <calculatedColumnFormula>IF(Table134[[#This Row],[Referred_By]]&lt;&gt;"","YES","NO")</calculatedColumnFormula>
    </tableColumn>
  </tableColumns>
  <tableStyleInfo name="TableStyleMedium2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24380C-9FC2-4550-9231-3B510C0AC5DC}" name="Table1345" displayName="Table1345" ref="A1:N36" totalsRowShown="0" headerRowDxfId="869" dataDxfId="867" headerRowBorderDxfId="868" tableBorderDxfId="866">
  <autoFilter ref="A1:N36" xr:uid="{A96D31FB-E18E-4E8C-9007-692F84B265A5}"/>
  <sortState ref="A2:M36">
    <sortCondition descending="1" ref="M1:M36"/>
  </sortState>
  <tableColumns count="14">
    <tableColumn id="1" xr3:uid="{1CA85F4F-C6E8-44D1-AFA8-57A4E3759306}" name="Column1" dataDxfId="865"/>
    <tableColumn id="2" xr3:uid="{3D92BAEF-BF0D-4810-8347-D2D31C423D72}" name="Full_Name" dataDxfId="864"/>
    <tableColumn id="3" xr3:uid="{CD960EF4-467D-47CE-A296-9B1F7277CE85}" name="Age" dataDxfId="863"/>
    <tableColumn id="4" xr3:uid="{D30927C0-42DC-4C52-A99B-619B90487898}" name="Gender" dataDxfId="862"/>
    <tableColumn id="5" xr3:uid="{E5B32EDD-7503-45A1-AB90-5CAEE2E40B78}" name="Membership_Type" dataDxfId="861"/>
    <tableColumn id="6" xr3:uid="{AB45C87C-A66B-4B2F-A418-9F42075962F2}" name="Start_Date" dataDxfId="860"/>
    <tableColumn id="7" xr3:uid="{02AEEEAE-384F-4186-900D-09C64D760DDA}" name="End_Date" dataDxfId="859"/>
    <tableColumn id="8" xr3:uid="{57218E7E-1ADD-49D6-8FF8-8C896FF6FB2C}" name="Monthly_Fee" dataDxfId="858"/>
    <tableColumn id="9" xr3:uid="{ABC65DFE-D579-4849-A13A-A70DA79486AA}" name="Attendance" dataDxfId="857"/>
    <tableColumn id="10" xr3:uid="{A6DA9021-A3A0-408F-B565-6412ED7D4250}" name="City" dataDxfId="856"/>
    <tableColumn id="11" xr3:uid="{4CFCBAFA-FEAC-4A10-931A-3403E02B9338}" name="Referred_By" dataDxfId="855"/>
    <tableColumn id="12" xr3:uid="{C25CB374-9211-41CC-9AAA-2D421D7C05A0}" name="Membership_Duration_Months" dataDxfId="854">
      <calculatedColumnFormula>ROUNDDOWN((Table1345[[#This Row],[End_Date]]-Table1345[[#This Row],[Start_Date]])/30,0)</calculatedColumnFormula>
    </tableColumn>
    <tableColumn id="13" xr3:uid="{4C254D8F-FCE3-4889-81A9-8D0C2D46254E}" name="Referred" dataDxfId="853">
      <calculatedColumnFormula>IF(Table1345[[#This Row],[Referred_By]]&lt;&gt;"","YES","NO")</calculatedColumnFormula>
    </tableColumn>
    <tableColumn id="14" xr3:uid="{4C0E95B2-6F90-4D33-8F69-1687DF8998B0}" name="Total_Revenue" dataDxfId="852">
      <calculatedColumnFormula>Table1345[[#This Row],[Monthly_Fee]]*Table1345[[#This Row],[Membership_Duration_Months]]</calculatedColumnFormula>
    </tableColumn>
  </tableColumns>
  <tableStyleInfo name="TableStyleMedium2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80925B-C593-4841-BFAA-617C609DCF34}" name="Table1346" displayName="Table1346" ref="A1:M36" totalsRowShown="0" headerRowDxfId="831" dataDxfId="829" headerRowBorderDxfId="830" tableBorderDxfId="828">
  <autoFilter ref="A1:M36" xr:uid="{68BD6D61-DAA7-4705-A4CA-6F49CAE13DA7}"/>
  <sortState ref="A2:M36">
    <sortCondition descending="1" ref="M1:M36"/>
  </sortState>
  <tableColumns count="13">
    <tableColumn id="1" xr3:uid="{E24B5294-63D6-49B6-AF30-857425689476}" name="Column1" dataDxfId="827"/>
    <tableColumn id="2" xr3:uid="{D68558C6-2699-4839-92FE-9D0D44DC23A5}" name="Full_Name" dataDxfId="826"/>
    <tableColumn id="3" xr3:uid="{740AD300-F6BB-49CD-9D83-7A2869509C7B}" name="Age" dataDxfId="825"/>
    <tableColumn id="4" xr3:uid="{CEF95124-4B18-4134-977B-171E8D2FA424}" name="Gender" dataDxfId="824"/>
    <tableColumn id="5" xr3:uid="{8CA52620-38AF-48EE-AA17-92226393D563}" name="Membership_Type" dataDxfId="823"/>
    <tableColumn id="6" xr3:uid="{209F9623-FF5E-4853-8191-2462275D1555}" name="Start_Date" dataDxfId="822"/>
    <tableColumn id="7" xr3:uid="{71BD107D-C858-441E-9972-349B8CD1DD20}" name="End_Date" dataDxfId="821"/>
    <tableColumn id="8" xr3:uid="{A2E067DB-B2BC-4394-B9B0-4822752B6BD5}" name="Monthly_Fee" dataDxfId="820"/>
    <tableColumn id="9" xr3:uid="{D3DD5764-B4F0-4603-8216-6A9B527B45B4}" name="Attendance" dataDxfId="819"/>
    <tableColumn id="10" xr3:uid="{BE54CCBC-4B5D-4AD8-9D72-6946C150D8B2}" name="City" dataDxfId="818"/>
    <tableColumn id="11" xr3:uid="{E04D074E-8F03-4732-AF49-4F0A1F68F840}" name="Referred_By" dataDxfId="817"/>
    <tableColumn id="12" xr3:uid="{60985C5D-9E30-4483-A465-0C7A44DA2B60}" name="Membership_Duration_Months" dataDxfId="816">
      <calculatedColumnFormula>ROUNDDOWN((Table1346[[#This Row],[End_Date]]-Table1346[[#This Row],[Start_Date]])/30,0)</calculatedColumnFormula>
    </tableColumn>
    <tableColumn id="13" xr3:uid="{3D4C41CE-DB3E-4D63-99B4-BAF247FE6BA1}" name="Referred" dataDxfId="815">
      <calculatedColumnFormula>IF(Table1346[[#This Row],[Referred_By]]&lt;&gt;"","YES","NO")</calculatedColumnFormula>
    </tableColumn>
  </tableColumns>
  <tableStyleInfo name="TableStyleMedium2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E562EF-DE0A-4AF9-BE0A-031DE56D4778}" name="Table1347" displayName="Table1347" ref="A1:M36" totalsRowShown="0" headerRowDxfId="814" dataDxfId="812" headerRowBorderDxfId="813" tableBorderDxfId="811">
  <autoFilter ref="A1:M36" xr:uid="{44653127-88F7-492D-BE1D-A6EAD9955273}">
    <filterColumn colId="11">
      <colorFilter dxfId="810"/>
    </filterColumn>
  </autoFilter>
  <sortState ref="A2:M36">
    <sortCondition ref="I1:I36"/>
  </sortState>
  <tableColumns count="13">
    <tableColumn id="1" xr3:uid="{4D2A6E78-301B-46A4-AEAE-9B7A6D6B708B}" name="Column1" dataDxfId="809"/>
    <tableColumn id="2" xr3:uid="{52D7B336-E8C2-4FB8-ADC8-18E8CA0E1EAE}" name="Full_Name" dataDxfId="808"/>
    <tableColumn id="3" xr3:uid="{1F87092B-297C-4CFF-A7F0-F347BC35B5AB}" name="Age" dataDxfId="807"/>
    <tableColumn id="4" xr3:uid="{E5E8D97D-57E4-4175-96EA-9F06BC9DCC3B}" name="Gender" dataDxfId="806"/>
    <tableColumn id="5" xr3:uid="{4B4E4642-8EAF-46A9-8409-A5D1E617A3D2}" name="Membership_Type" dataDxfId="805"/>
    <tableColumn id="6" xr3:uid="{8FD2724F-9463-45DE-A128-D08D1DF093B6}" name="Start_Date" dataDxfId="804"/>
    <tableColumn id="7" xr3:uid="{D4DED986-2C75-4D3B-B474-C7DC64199DF8}" name="End_Date" dataDxfId="803"/>
    <tableColumn id="8" xr3:uid="{19C982E1-368E-459A-B74F-548EEA205AFA}" name="Monthly_Fee" dataDxfId="802"/>
    <tableColumn id="9" xr3:uid="{15F2F7D0-DA92-48F5-9944-FBA2F86240A0}" name="Attendance" dataDxfId="801"/>
    <tableColumn id="10" xr3:uid="{EFE2ACA6-2C52-456C-8E27-7023FF856A09}" name="City" dataDxfId="800"/>
    <tableColumn id="11" xr3:uid="{007D16E3-9F69-4924-B9A2-D10105BD324A}" name="Referred_By" dataDxfId="799"/>
    <tableColumn id="12" xr3:uid="{E7209179-AF64-401B-8610-1EE08777034D}" name="Membership_Duration_Months" dataDxfId="798">
      <calculatedColumnFormula>ROUNDDOWN((Table1347[[#This Row],[End_Date]]-Table1347[[#This Row],[Start_Date]])/30,0)</calculatedColumnFormula>
    </tableColumn>
    <tableColumn id="13" xr3:uid="{5F041B15-9632-46BC-B37D-0E7AB34A6053}" name="Referred" dataDxfId="797">
      <calculatedColumnFormula>IF(Table1347[[#This Row],[Referred_By]]&lt;&gt;"","YES","NO")</calculatedColumnFormula>
    </tableColumn>
  </tableColumns>
  <tableStyleInfo name="TableStyleMedium2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4B47C4-236B-4867-B613-CD3282813704}" name="Table13458" displayName="Table13458" ref="A1:O36" totalsRowShown="0" headerRowDxfId="19" dataDxfId="18" headerRowBorderDxfId="16" tableBorderDxfId="17">
  <autoFilter ref="A1:O36" xr:uid="{323BF4A0-8F77-446F-BAE6-F1B8EB2D8912}"/>
  <sortState ref="A2:M36">
    <sortCondition descending="1" ref="M1:M36"/>
  </sortState>
  <tableColumns count="15">
    <tableColumn id="1" xr3:uid="{0EFFF1FE-D083-4888-9366-1B35260ED991}" name="Column1" dataDxfId="15"/>
    <tableColumn id="2" xr3:uid="{162C09F8-C8FF-4A41-A6F9-D543CFFFFD8D}" name="Full_Name" dataDxfId="14"/>
    <tableColumn id="3" xr3:uid="{02829AC4-3DF5-4B53-A9CC-7246CFD9618E}" name="Age" dataDxfId="13"/>
    <tableColumn id="4" xr3:uid="{5BBB3DF0-F22F-425C-89CA-FD7C0553DBBA}" name="Gender" dataDxfId="12"/>
    <tableColumn id="5" xr3:uid="{9FC9603D-EB88-44E2-9748-023495CEA403}" name="Membership_Type" dataDxfId="11"/>
    <tableColumn id="6" xr3:uid="{BD865D48-39B3-484C-BF2D-F2A8CF05D617}" name="Start_Date" dataDxfId="10"/>
    <tableColumn id="7" xr3:uid="{312D9F5E-36DF-454F-BEE1-0CBEA2C131B6}" name="End_Date" dataDxfId="9"/>
    <tableColumn id="8" xr3:uid="{7B8E67AB-2B5C-4AF6-B763-D1C0AD1AEFF4}" name="Monthly_Fee" dataDxfId="8"/>
    <tableColumn id="9" xr3:uid="{D176A6AB-AD9C-459F-8865-9FEB0AB33744}" name="Attendance" dataDxfId="7"/>
    <tableColumn id="10" xr3:uid="{301D6574-918B-49CF-9189-9D9FCFFE6D32}" name="City" dataDxfId="6"/>
    <tableColumn id="11" xr3:uid="{3E25262F-1A49-4565-9B9C-D391F5B94ED6}" name="Referred_By" dataDxfId="5"/>
    <tableColumn id="12" xr3:uid="{6C287012-4156-4A8C-9E83-307B88C566A0}" name="Membership_Duration_Months" dataDxfId="4">
      <calculatedColumnFormula>ROUNDDOWN((Table13458[[#This Row],[End_Date]]-Table13458[[#This Row],[Start_Date]])/30,0)</calculatedColumnFormula>
    </tableColumn>
    <tableColumn id="13" xr3:uid="{648F97CE-0296-4C75-8FFB-8586EFE77D19}" name="Referred" dataDxfId="3">
      <calculatedColumnFormula>IF(Table13458[[#This Row],[Referred_By]]&lt;&gt;"","YES","NO")</calculatedColumnFormula>
    </tableColumn>
    <tableColumn id="14" xr3:uid="{F4D7D29E-25A9-4BCF-B2AF-716574A58E69}" name="Total_Revenue" dataDxfId="2">
      <calculatedColumnFormula>Table13458[[#This Row],[Monthly_Fee]]*Table13458[[#This Row],[Membership_Duration_Months]]</calculatedColumnFormula>
    </tableColumn>
    <tableColumn id="15" xr3:uid="{E755C497-C6E5-4F50-9399-0D7C94243F52}" name="Age Type" dataDxfId="1">
      <calculatedColumnFormula>IF(AND(Table13458[[#This Row],[Age]]&gt;=18,Table13458[[#This Row],[Age]]&lt;=30),"Youth",
   IF(AND(Table13458[[#This Row],[Age]]&gt;=31,Table13458[[#This Row],[Age]]&lt;=45),"Adult",
   IF(Table13458[[#This Row],[Age]]&gt;=46,"Senior","")))</calculatedColumnFormula>
    </tableColumn>
  </tableColumns>
  <tableStyleInfo name="TableStyleMedium2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election activeCell="S10" sqref="S10"/>
    </sheetView>
  </sheetViews>
  <sheetFormatPr defaultColWidth="14.42578125" defaultRowHeight="15" customHeight="1" x14ac:dyDescent="0.25"/>
  <cols>
    <col min="1" max="1" width="13.42578125" bestFit="1" customWidth="1"/>
    <col min="2" max="2" width="16.140625" bestFit="1" customWidth="1"/>
    <col min="3" max="3" width="9" bestFit="1" customWidth="1"/>
    <col min="4" max="4" width="12.28515625" bestFit="1" customWidth="1"/>
    <col min="5" max="5" width="22.5703125" bestFit="1" customWidth="1"/>
    <col min="6" max="6" width="14.85546875" bestFit="1" customWidth="1"/>
    <col min="7" max="7" width="14" bestFit="1" customWidth="1"/>
    <col min="8" max="8" width="17.42578125" bestFit="1" customWidth="1"/>
    <col min="9" max="9" width="15.85546875" bestFit="1" customWidth="1"/>
    <col min="10" max="10" width="19.42578125" customWidth="1"/>
    <col min="11" max="11" width="26.7109375" customWidth="1"/>
    <col min="12" max="26" width="8.7109375" customWidth="1"/>
  </cols>
  <sheetData>
    <row r="1" spans="1:11" x14ac:dyDescent="0.25">
      <c r="A1" s="1" t="s">
        <v>107</v>
      </c>
      <c r="B1" s="1" t="s">
        <v>0</v>
      </c>
      <c r="C1" s="1" t="s">
        <v>1</v>
      </c>
      <c r="D1" s="1" t="s">
        <v>2</v>
      </c>
      <c r="E1" s="1" t="s">
        <v>3</v>
      </c>
      <c r="F1" s="1" t="s">
        <v>4</v>
      </c>
      <c r="G1" s="1" t="s">
        <v>5</v>
      </c>
      <c r="H1" s="1" t="s">
        <v>6</v>
      </c>
      <c r="I1" s="1" t="s">
        <v>7</v>
      </c>
      <c r="J1" s="1" t="s">
        <v>8</v>
      </c>
      <c r="K1" s="1" t="s">
        <v>9</v>
      </c>
    </row>
    <row r="2" spans="1:11" x14ac:dyDescent="0.25">
      <c r="A2" s="2" t="s">
        <v>10</v>
      </c>
      <c r="B2" s="2" t="s">
        <v>11</v>
      </c>
      <c r="C2" s="2">
        <v>59</v>
      </c>
      <c r="D2" s="2" t="s">
        <v>12</v>
      </c>
      <c r="E2" s="2" t="s">
        <v>13</v>
      </c>
      <c r="F2" s="3">
        <v>45235</v>
      </c>
      <c r="G2" s="3">
        <v>45425</v>
      </c>
      <c r="H2" s="2">
        <v>800</v>
      </c>
      <c r="I2" s="2">
        <v>25</v>
      </c>
      <c r="J2" s="2" t="s">
        <v>14</v>
      </c>
      <c r="K2" s="2" t="s">
        <v>15</v>
      </c>
    </row>
    <row r="3" spans="1:11" x14ac:dyDescent="0.25">
      <c r="A3" s="2" t="s">
        <v>16</v>
      </c>
      <c r="B3" s="2" t="s">
        <v>17</v>
      </c>
      <c r="C3" s="2">
        <v>27</v>
      </c>
      <c r="D3" s="2" t="s">
        <v>12</v>
      </c>
      <c r="E3" s="2" t="s">
        <v>13</v>
      </c>
      <c r="F3" s="3">
        <v>45714</v>
      </c>
      <c r="G3" s="3">
        <v>45740</v>
      </c>
      <c r="H3" s="2">
        <v>800</v>
      </c>
      <c r="I3" s="2">
        <v>20</v>
      </c>
      <c r="J3" s="2" t="s">
        <v>18</v>
      </c>
      <c r="K3" s="2" t="s">
        <v>19</v>
      </c>
    </row>
    <row r="4" spans="1:11" x14ac:dyDescent="0.25">
      <c r="A4" s="2" t="s">
        <v>20</v>
      </c>
      <c r="B4" s="2" t="s">
        <v>21</v>
      </c>
      <c r="C4" s="2">
        <v>24</v>
      </c>
      <c r="D4" s="2" t="s">
        <v>12</v>
      </c>
      <c r="E4" s="2" t="s">
        <v>22</v>
      </c>
      <c r="F4" s="3">
        <v>45191</v>
      </c>
      <c r="G4" s="3">
        <v>45371</v>
      </c>
      <c r="H4" s="2">
        <v>1200</v>
      </c>
      <c r="I4" s="2">
        <v>18</v>
      </c>
      <c r="J4" s="2" t="s">
        <v>23</v>
      </c>
      <c r="K4" s="2" t="s">
        <v>24</v>
      </c>
    </row>
    <row r="5" spans="1:11" x14ac:dyDescent="0.25">
      <c r="A5" s="2" t="s">
        <v>25</v>
      </c>
      <c r="B5" s="2" t="s">
        <v>26</v>
      </c>
      <c r="C5" s="2">
        <v>31</v>
      </c>
      <c r="D5" s="2" t="s">
        <v>27</v>
      </c>
      <c r="E5" s="2" t="s">
        <v>22</v>
      </c>
      <c r="F5" s="3">
        <v>45479</v>
      </c>
      <c r="G5" s="3">
        <v>45587</v>
      </c>
      <c r="H5" s="2">
        <v>1200</v>
      </c>
      <c r="I5" s="2">
        <v>16</v>
      </c>
      <c r="J5" s="2" t="s">
        <v>23</v>
      </c>
      <c r="K5" s="2" t="s">
        <v>28</v>
      </c>
    </row>
    <row r="6" spans="1:11" x14ac:dyDescent="0.25">
      <c r="A6" s="2" t="s">
        <v>29</v>
      </c>
      <c r="B6" s="2" t="s">
        <v>30</v>
      </c>
      <c r="C6" s="2">
        <v>19</v>
      </c>
      <c r="D6" s="2" t="s">
        <v>12</v>
      </c>
      <c r="E6" s="2" t="s">
        <v>31</v>
      </c>
      <c r="F6" s="3">
        <v>45286</v>
      </c>
      <c r="G6" s="3">
        <v>45501</v>
      </c>
      <c r="H6" s="2">
        <v>2500</v>
      </c>
      <c r="I6" s="2">
        <v>12</v>
      </c>
      <c r="J6" s="2" t="s">
        <v>14</v>
      </c>
      <c r="K6" s="2" t="s">
        <v>32</v>
      </c>
    </row>
    <row r="7" spans="1:11" x14ac:dyDescent="0.25">
      <c r="A7" s="2" t="s">
        <v>33</v>
      </c>
      <c r="B7" s="2" t="s">
        <v>34</v>
      </c>
      <c r="C7" s="2">
        <v>40</v>
      </c>
      <c r="D7" s="2" t="s">
        <v>12</v>
      </c>
      <c r="E7" s="2" t="s">
        <v>13</v>
      </c>
      <c r="F7" s="3">
        <v>45317</v>
      </c>
      <c r="G7" s="3">
        <v>45392</v>
      </c>
      <c r="H7" s="2">
        <v>800</v>
      </c>
      <c r="I7" s="2">
        <v>14</v>
      </c>
      <c r="J7" s="2" t="s">
        <v>35</v>
      </c>
      <c r="K7" s="2" t="s">
        <v>36</v>
      </c>
    </row>
    <row r="8" spans="1:11" x14ac:dyDescent="0.25">
      <c r="A8" s="2" t="s">
        <v>37</v>
      </c>
      <c r="B8" s="2" t="s">
        <v>38</v>
      </c>
      <c r="C8" s="2">
        <v>41</v>
      </c>
      <c r="D8" s="2" t="s">
        <v>27</v>
      </c>
      <c r="E8" s="2" t="s">
        <v>13</v>
      </c>
      <c r="F8" s="3">
        <v>45588</v>
      </c>
      <c r="G8" s="3">
        <v>45677</v>
      </c>
      <c r="H8" s="2">
        <v>800</v>
      </c>
      <c r="I8" s="2">
        <v>25</v>
      </c>
      <c r="J8" s="2" t="s">
        <v>18</v>
      </c>
      <c r="K8" s="4"/>
    </row>
    <row r="9" spans="1:11" x14ac:dyDescent="0.25">
      <c r="A9" s="2" t="s">
        <v>39</v>
      </c>
      <c r="B9" s="2" t="s">
        <v>40</v>
      </c>
      <c r="C9" s="2">
        <v>43</v>
      </c>
      <c r="D9" s="2" t="s">
        <v>12</v>
      </c>
      <c r="E9" s="2" t="s">
        <v>41</v>
      </c>
      <c r="F9" s="3">
        <v>45450</v>
      </c>
      <c r="G9" s="3">
        <v>45563</v>
      </c>
      <c r="H9" s="2">
        <v>1800</v>
      </c>
      <c r="I9" s="2">
        <v>28</v>
      </c>
      <c r="J9" s="2" t="s">
        <v>42</v>
      </c>
      <c r="K9" s="4"/>
    </row>
    <row r="10" spans="1:11" x14ac:dyDescent="0.25">
      <c r="A10" s="2" t="s">
        <v>43</v>
      </c>
      <c r="B10" s="2" t="s">
        <v>44</v>
      </c>
      <c r="C10" s="2">
        <v>42</v>
      </c>
      <c r="D10" s="2" t="s">
        <v>12</v>
      </c>
      <c r="E10" s="2" t="s">
        <v>13</v>
      </c>
      <c r="F10" s="3">
        <v>45569</v>
      </c>
      <c r="G10" s="3">
        <v>45582</v>
      </c>
      <c r="H10" s="2">
        <v>800</v>
      </c>
      <c r="I10" s="2">
        <v>3</v>
      </c>
      <c r="J10" s="2" t="s">
        <v>42</v>
      </c>
      <c r="K10" s="2" t="s">
        <v>45</v>
      </c>
    </row>
    <row r="11" spans="1:11" x14ac:dyDescent="0.25">
      <c r="A11" s="2" t="s">
        <v>46</v>
      </c>
      <c r="B11" s="2" t="s">
        <v>47</v>
      </c>
      <c r="C11" s="2">
        <v>37</v>
      </c>
      <c r="D11" s="2" t="s">
        <v>12</v>
      </c>
      <c r="E11" s="2" t="s">
        <v>22</v>
      </c>
      <c r="F11" s="3">
        <v>45202</v>
      </c>
      <c r="G11" s="3">
        <v>45280</v>
      </c>
      <c r="H11" s="2">
        <v>1200</v>
      </c>
      <c r="I11" s="2">
        <v>29</v>
      </c>
      <c r="J11" s="2" t="s">
        <v>35</v>
      </c>
      <c r="K11" s="2" t="s">
        <v>48</v>
      </c>
    </row>
    <row r="12" spans="1:11" x14ac:dyDescent="0.25">
      <c r="A12" s="2" t="s">
        <v>49</v>
      </c>
      <c r="B12" s="2" t="s">
        <v>50</v>
      </c>
      <c r="C12" s="2">
        <v>48</v>
      </c>
      <c r="D12" s="2" t="s">
        <v>27</v>
      </c>
      <c r="E12" s="2" t="s">
        <v>22</v>
      </c>
      <c r="F12" s="3">
        <v>45297</v>
      </c>
      <c r="G12" s="3">
        <v>45459</v>
      </c>
      <c r="H12" s="2">
        <v>1200</v>
      </c>
      <c r="I12" s="2">
        <v>13</v>
      </c>
      <c r="J12" s="2" t="s">
        <v>14</v>
      </c>
      <c r="K12" s="2" t="s">
        <v>51</v>
      </c>
    </row>
    <row r="13" spans="1:11" x14ac:dyDescent="0.25">
      <c r="A13" s="2" t="s">
        <v>52</v>
      </c>
      <c r="B13" s="2" t="s">
        <v>53</v>
      </c>
      <c r="C13" s="2">
        <v>36</v>
      </c>
      <c r="D13" s="2" t="s">
        <v>12</v>
      </c>
      <c r="E13" s="2" t="s">
        <v>22</v>
      </c>
      <c r="F13" s="3">
        <v>45154</v>
      </c>
      <c r="G13" s="3">
        <v>45568</v>
      </c>
      <c r="H13" s="2">
        <v>1200</v>
      </c>
      <c r="I13" s="2">
        <v>19</v>
      </c>
      <c r="J13" s="2" t="s">
        <v>42</v>
      </c>
      <c r="K13" s="2" t="s">
        <v>54</v>
      </c>
    </row>
    <row r="14" spans="1:11" x14ac:dyDescent="0.25">
      <c r="A14" s="2" t="s">
        <v>55</v>
      </c>
      <c r="B14" s="2" t="s">
        <v>56</v>
      </c>
      <c r="C14" s="2">
        <v>48</v>
      </c>
      <c r="D14" s="2" t="s">
        <v>27</v>
      </c>
      <c r="E14" s="2" t="s">
        <v>41</v>
      </c>
      <c r="F14" s="3">
        <v>45556</v>
      </c>
      <c r="G14" s="3">
        <v>45641</v>
      </c>
      <c r="H14" s="2">
        <v>1800</v>
      </c>
      <c r="I14" s="2">
        <v>22</v>
      </c>
      <c r="J14" s="2" t="s">
        <v>42</v>
      </c>
      <c r="K14" s="4"/>
    </row>
    <row r="15" spans="1:11" x14ac:dyDescent="0.25">
      <c r="A15" s="2" t="s">
        <v>57</v>
      </c>
      <c r="B15" s="2" t="s">
        <v>58</v>
      </c>
      <c r="C15" s="2">
        <v>39</v>
      </c>
      <c r="D15" s="2" t="s">
        <v>12</v>
      </c>
      <c r="E15" s="2" t="s">
        <v>22</v>
      </c>
      <c r="F15" s="3">
        <v>45065</v>
      </c>
      <c r="G15" s="3">
        <v>45242</v>
      </c>
      <c r="H15" s="2">
        <v>1200</v>
      </c>
      <c r="I15" s="2">
        <v>28</v>
      </c>
      <c r="J15" s="2" t="s">
        <v>35</v>
      </c>
      <c r="K15" s="4"/>
    </row>
    <row r="16" spans="1:11" x14ac:dyDescent="0.25">
      <c r="A16" s="2" t="s">
        <v>59</v>
      </c>
      <c r="B16" s="2" t="s">
        <v>60</v>
      </c>
      <c r="C16" s="2">
        <v>44</v>
      </c>
      <c r="D16" s="2" t="s">
        <v>27</v>
      </c>
      <c r="E16" s="2" t="s">
        <v>13</v>
      </c>
      <c r="F16" s="3">
        <v>45333</v>
      </c>
      <c r="G16" s="3">
        <v>45540</v>
      </c>
      <c r="H16" s="2">
        <v>800</v>
      </c>
      <c r="I16" s="2">
        <v>8</v>
      </c>
      <c r="J16" s="2" t="s">
        <v>23</v>
      </c>
      <c r="K16" s="4"/>
    </row>
    <row r="17" spans="1:11" x14ac:dyDescent="0.25">
      <c r="A17" s="2" t="s">
        <v>61</v>
      </c>
      <c r="B17" s="2" t="s">
        <v>62</v>
      </c>
      <c r="C17" s="2">
        <v>39</v>
      </c>
      <c r="D17" s="2" t="s">
        <v>12</v>
      </c>
      <c r="E17" s="2" t="s">
        <v>31</v>
      </c>
      <c r="F17" s="3">
        <v>45702</v>
      </c>
      <c r="G17" s="3">
        <v>45732</v>
      </c>
      <c r="H17" s="2">
        <v>2500</v>
      </c>
      <c r="I17" s="2">
        <v>14</v>
      </c>
      <c r="J17" s="2" t="s">
        <v>42</v>
      </c>
      <c r="K17" s="4"/>
    </row>
    <row r="18" spans="1:11" x14ac:dyDescent="0.25">
      <c r="A18" s="2" t="s">
        <v>63</v>
      </c>
      <c r="B18" s="2" t="s">
        <v>64</v>
      </c>
      <c r="C18" s="2">
        <v>35</v>
      </c>
      <c r="D18" s="2" t="s">
        <v>12</v>
      </c>
      <c r="E18" s="2" t="s">
        <v>22</v>
      </c>
      <c r="F18" s="3">
        <v>45329</v>
      </c>
      <c r="G18" s="3">
        <v>45685</v>
      </c>
      <c r="H18" s="2">
        <v>1200</v>
      </c>
      <c r="I18" s="2">
        <v>25</v>
      </c>
      <c r="J18" s="2" t="s">
        <v>23</v>
      </c>
      <c r="K18" s="4"/>
    </row>
    <row r="19" spans="1:11" x14ac:dyDescent="0.25">
      <c r="A19" s="2" t="s">
        <v>65</v>
      </c>
      <c r="B19" s="2" t="s">
        <v>66</v>
      </c>
      <c r="C19" s="2">
        <v>56</v>
      </c>
      <c r="D19" s="2" t="s">
        <v>27</v>
      </c>
      <c r="E19" s="2" t="s">
        <v>31</v>
      </c>
      <c r="F19" s="3">
        <v>45213</v>
      </c>
      <c r="G19" s="3">
        <v>45649</v>
      </c>
      <c r="H19" s="2">
        <v>2500</v>
      </c>
      <c r="I19" s="2">
        <v>13</v>
      </c>
      <c r="J19" s="2" t="s">
        <v>67</v>
      </c>
      <c r="K19" s="4"/>
    </row>
    <row r="20" spans="1:11" x14ac:dyDescent="0.25">
      <c r="A20" s="2" t="s">
        <v>68</v>
      </c>
      <c r="B20" s="2" t="s">
        <v>69</v>
      </c>
      <c r="C20" s="2">
        <v>27</v>
      </c>
      <c r="D20" s="2" t="s">
        <v>27</v>
      </c>
      <c r="E20" s="2" t="s">
        <v>13</v>
      </c>
      <c r="F20" s="3">
        <v>45354</v>
      </c>
      <c r="G20" s="3">
        <v>45664</v>
      </c>
      <c r="H20" s="2">
        <v>800</v>
      </c>
      <c r="I20" s="2">
        <v>26</v>
      </c>
      <c r="J20" s="2" t="s">
        <v>35</v>
      </c>
      <c r="K20" s="4"/>
    </row>
    <row r="21" spans="1:11" ht="15.75" customHeight="1" x14ac:dyDescent="0.25">
      <c r="A21" s="2" t="s">
        <v>70</v>
      </c>
      <c r="B21" s="2" t="s">
        <v>71</v>
      </c>
      <c r="C21" s="2">
        <v>28</v>
      </c>
      <c r="D21" s="2" t="s">
        <v>12</v>
      </c>
      <c r="E21" s="2" t="s">
        <v>31</v>
      </c>
      <c r="F21" s="3">
        <v>45417</v>
      </c>
      <c r="G21" s="3">
        <v>45608</v>
      </c>
      <c r="H21" s="2">
        <v>2500</v>
      </c>
      <c r="I21" s="2">
        <v>21</v>
      </c>
      <c r="J21" s="2" t="s">
        <v>35</v>
      </c>
      <c r="K21" s="2" t="s">
        <v>72</v>
      </c>
    </row>
    <row r="22" spans="1:11" ht="15.75" customHeight="1" x14ac:dyDescent="0.25">
      <c r="A22" s="2" t="s">
        <v>73</v>
      </c>
      <c r="B22" s="2" t="s">
        <v>74</v>
      </c>
      <c r="C22" s="2">
        <v>57</v>
      </c>
      <c r="D22" s="2" t="s">
        <v>27</v>
      </c>
      <c r="E22" s="2" t="s">
        <v>41</v>
      </c>
      <c r="F22" s="3">
        <v>45146</v>
      </c>
      <c r="G22" s="3">
        <v>45674</v>
      </c>
      <c r="H22" s="2">
        <v>1800</v>
      </c>
      <c r="I22" s="2">
        <v>19</v>
      </c>
      <c r="J22" s="2" t="s">
        <v>35</v>
      </c>
      <c r="K22" s="4"/>
    </row>
    <row r="23" spans="1:11" ht="15.75" customHeight="1" x14ac:dyDescent="0.25">
      <c r="A23" s="2" t="s">
        <v>75</v>
      </c>
      <c r="B23" s="2" t="s">
        <v>76</v>
      </c>
      <c r="C23" s="2">
        <v>26</v>
      </c>
      <c r="D23" s="2" t="s">
        <v>27</v>
      </c>
      <c r="E23" s="2" t="s">
        <v>41</v>
      </c>
      <c r="F23" s="3">
        <v>45320</v>
      </c>
      <c r="G23" s="3">
        <v>45616</v>
      </c>
      <c r="H23" s="2">
        <v>1800</v>
      </c>
      <c r="I23" s="2">
        <v>5</v>
      </c>
      <c r="J23" s="2" t="s">
        <v>14</v>
      </c>
      <c r="K23" s="4"/>
    </row>
    <row r="24" spans="1:11" ht="15.75" customHeight="1" x14ac:dyDescent="0.25">
      <c r="A24" s="2" t="s">
        <v>77</v>
      </c>
      <c r="B24" s="2" t="s">
        <v>78</v>
      </c>
      <c r="C24" s="2">
        <v>48</v>
      </c>
      <c r="D24" s="2" t="s">
        <v>12</v>
      </c>
      <c r="E24" s="2" t="s">
        <v>41</v>
      </c>
      <c r="F24" s="3">
        <v>45451</v>
      </c>
      <c r="G24" s="3">
        <v>45455</v>
      </c>
      <c r="H24" s="2">
        <v>1800</v>
      </c>
      <c r="I24" s="2">
        <v>18</v>
      </c>
      <c r="J24" s="2" t="s">
        <v>67</v>
      </c>
      <c r="K24" s="4"/>
    </row>
    <row r="25" spans="1:11" ht="15.75" customHeight="1" x14ac:dyDescent="0.25">
      <c r="A25" s="2" t="s">
        <v>79</v>
      </c>
      <c r="B25" s="2" t="s">
        <v>80</v>
      </c>
      <c r="C25" s="2">
        <v>25</v>
      </c>
      <c r="D25" s="2" t="s">
        <v>27</v>
      </c>
      <c r="E25" s="2" t="s">
        <v>22</v>
      </c>
      <c r="F25" s="3">
        <v>45439</v>
      </c>
      <c r="G25" s="3">
        <v>45730</v>
      </c>
      <c r="H25" s="2">
        <v>1200</v>
      </c>
      <c r="I25" s="2">
        <v>6</v>
      </c>
      <c r="J25" s="2" t="s">
        <v>14</v>
      </c>
      <c r="K25" s="4"/>
    </row>
    <row r="26" spans="1:11" ht="15.75" customHeight="1" x14ac:dyDescent="0.25">
      <c r="A26" s="2" t="s">
        <v>81</v>
      </c>
      <c r="B26" s="2" t="s">
        <v>82</v>
      </c>
      <c r="C26" s="2">
        <v>53</v>
      </c>
      <c r="D26" s="2" t="s">
        <v>12</v>
      </c>
      <c r="E26" s="2" t="s">
        <v>41</v>
      </c>
      <c r="F26" s="3">
        <v>45286</v>
      </c>
      <c r="G26" s="3">
        <v>45372</v>
      </c>
      <c r="H26" s="2">
        <v>1800</v>
      </c>
      <c r="I26" s="2">
        <v>17</v>
      </c>
      <c r="J26" s="2" t="s">
        <v>35</v>
      </c>
      <c r="K26" s="2" t="s">
        <v>83</v>
      </c>
    </row>
    <row r="27" spans="1:11" ht="15.75" customHeight="1" x14ac:dyDescent="0.25">
      <c r="A27" s="2" t="s">
        <v>84</v>
      </c>
      <c r="B27" s="2" t="s">
        <v>85</v>
      </c>
      <c r="C27" s="2">
        <v>42</v>
      </c>
      <c r="D27" s="2" t="s">
        <v>27</v>
      </c>
      <c r="E27" s="2" t="s">
        <v>22</v>
      </c>
      <c r="F27" s="3">
        <v>45702</v>
      </c>
      <c r="G27" s="3">
        <v>45727</v>
      </c>
      <c r="H27" s="2">
        <v>1200</v>
      </c>
      <c r="I27" s="2">
        <v>3</v>
      </c>
      <c r="J27" s="2" t="s">
        <v>67</v>
      </c>
      <c r="K27" s="4"/>
    </row>
    <row r="28" spans="1:11" ht="15.75" customHeight="1" x14ac:dyDescent="0.25">
      <c r="A28" s="2" t="s">
        <v>86</v>
      </c>
      <c r="B28" s="2" t="s">
        <v>87</v>
      </c>
      <c r="C28" s="2">
        <v>24</v>
      </c>
      <c r="D28" s="2" t="s">
        <v>12</v>
      </c>
      <c r="E28" s="2" t="s">
        <v>31</v>
      </c>
      <c r="F28" s="3">
        <v>45698</v>
      </c>
      <c r="G28" s="3">
        <v>45726</v>
      </c>
      <c r="H28" s="2">
        <v>2500</v>
      </c>
      <c r="I28" s="2">
        <v>28</v>
      </c>
      <c r="J28" s="2" t="s">
        <v>35</v>
      </c>
      <c r="K28" s="4"/>
    </row>
    <row r="29" spans="1:11" ht="15.75" customHeight="1" x14ac:dyDescent="0.25">
      <c r="A29" s="2" t="s">
        <v>88</v>
      </c>
      <c r="B29" s="2" t="s">
        <v>89</v>
      </c>
      <c r="C29" s="2">
        <v>53</v>
      </c>
      <c r="D29" s="2" t="s">
        <v>12</v>
      </c>
      <c r="E29" s="2" t="s">
        <v>22</v>
      </c>
      <c r="F29" s="3">
        <v>45614</v>
      </c>
      <c r="G29" s="3">
        <v>45645</v>
      </c>
      <c r="H29" s="2">
        <v>1200</v>
      </c>
      <c r="I29" s="2">
        <v>23</v>
      </c>
      <c r="J29" s="2" t="s">
        <v>18</v>
      </c>
      <c r="K29" s="4"/>
    </row>
    <row r="30" spans="1:11" ht="15.75" customHeight="1" x14ac:dyDescent="0.25">
      <c r="A30" s="2" t="s">
        <v>90</v>
      </c>
      <c r="B30" s="2" t="s">
        <v>91</v>
      </c>
      <c r="C30" s="2">
        <v>29</v>
      </c>
      <c r="D30" s="2" t="s">
        <v>27</v>
      </c>
      <c r="E30" s="2" t="s">
        <v>31</v>
      </c>
      <c r="F30" s="3">
        <v>45401</v>
      </c>
      <c r="G30" s="3">
        <v>45408</v>
      </c>
      <c r="H30" s="2">
        <v>2500</v>
      </c>
      <c r="I30" s="2">
        <v>8</v>
      </c>
      <c r="J30" s="2" t="s">
        <v>23</v>
      </c>
      <c r="K30" s="4"/>
    </row>
    <row r="31" spans="1:11" ht="15.75" customHeight="1" x14ac:dyDescent="0.25">
      <c r="A31" s="2" t="s">
        <v>92</v>
      </c>
      <c r="B31" s="2" t="s">
        <v>93</v>
      </c>
      <c r="C31" s="2">
        <v>31</v>
      </c>
      <c r="D31" s="2" t="s">
        <v>27</v>
      </c>
      <c r="E31" s="2" t="s">
        <v>31</v>
      </c>
      <c r="F31" s="3">
        <v>45667</v>
      </c>
      <c r="G31" s="3">
        <v>45745</v>
      </c>
      <c r="H31" s="2">
        <v>2500</v>
      </c>
      <c r="I31" s="2">
        <v>23</v>
      </c>
      <c r="J31" s="2" t="s">
        <v>42</v>
      </c>
      <c r="K31" s="2" t="s">
        <v>94</v>
      </c>
    </row>
    <row r="32" spans="1:11" ht="15.75" customHeight="1" x14ac:dyDescent="0.25">
      <c r="A32" s="2" t="s">
        <v>95</v>
      </c>
      <c r="B32" s="2" t="s">
        <v>96</v>
      </c>
      <c r="C32" s="2">
        <v>52</v>
      </c>
      <c r="D32" s="2" t="s">
        <v>27</v>
      </c>
      <c r="E32" s="2" t="s">
        <v>13</v>
      </c>
      <c r="F32" s="3">
        <v>45088</v>
      </c>
      <c r="G32" s="3">
        <v>45656</v>
      </c>
      <c r="H32" s="2">
        <v>800</v>
      </c>
      <c r="I32" s="2">
        <v>9</v>
      </c>
      <c r="J32" s="2" t="s">
        <v>67</v>
      </c>
      <c r="K32" s="2" t="s">
        <v>97</v>
      </c>
    </row>
    <row r="33" spans="1:11" ht="15.75" customHeight="1" x14ac:dyDescent="0.25">
      <c r="A33" s="2" t="s">
        <v>98</v>
      </c>
      <c r="B33" s="2" t="s">
        <v>99</v>
      </c>
      <c r="C33" s="2">
        <v>20</v>
      </c>
      <c r="D33" s="2" t="s">
        <v>12</v>
      </c>
      <c r="E33" s="2" t="s">
        <v>22</v>
      </c>
      <c r="F33" s="3">
        <v>45391</v>
      </c>
      <c r="G33" s="3">
        <v>45604</v>
      </c>
      <c r="H33" s="2">
        <v>1200</v>
      </c>
      <c r="I33" s="2">
        <v>2</v>
      </c>
      <c r="J33" s="2" t="s">
        <v>35</v>
      </c>
      <c r="K33" s="4"/>
    </row>
    <row r="34" spans="1:11" ht="15.75" customHeight="1" x14ac:dyDescent="0.25">
      <c r="A34" s="2" t="s">
        <v>100</v>
      </c>
      <c r="B34" s="2" t="s">
        <v>101</v>
      </c>
      <c r="C34" s="2">
        <v>22</v>
      </c>
      <c r="D34" s="2" t="s">
        <v>12</v>
      </c>
      <c r="E34" s="2" t="s">
        <v>13</v>
      </c>
      <c r="F34" s="3">
        <v>45699</v>
      </c>
      <c r="G34" s="3">
        <v>45740</v>
      </c>
      <c r="H34" s="2">
        <v>800</v>
      </c>
      <c r="I34" s="2">
        <v>30</v>
      </c>
      <c r="J34" s="2" t="s">
        <v>35</v>
      </c>
      <c r="K34" s="4"/>
    </row>
    <row r="35" spans="1:11" ht="15.75" customHeight="1" x14ac:dyDescent="0.25">
      <c r="A35" s="2" t="s">
        <v>102</v>
      </c>
      <c r="B35" s="2" t="s">
        <v>103</v>
      </c>
      <c r="C35" s="2">
        <v>23</v>
      </c>
      <c r="D35" s="2" t="s">
        <v>12</v>
      </c>
      <c r="E35" s="2" t="s">
        <v>41</v>
      </c>
      <c r="F35" s="3">
        <v>45588</v>
      </c>
      <c r="G35" s="3">
        <v>45721</v>
      </c>
      <c r="H35" s="2">
        <v>1800</v>
      </c>
      <c r="I35" s="2">
        <v>23</v>
      </c>
      <c r="J35" s="2" t="s">
        <v>18</v>
      </c>
      <c r="K35" s="2" t="s">
        <v>104</v>
      </c>
    </row>
    <row r="36" spans="1:11" ht="15.75" customHeight="1" x14ac:dyDescent="0.25">
      <c r="A36" s="2" t="s">
        <v>105</v>
      </c>
      <c r="B36" s="2" t="s">
        <v>106</v>
      </c>
      <c r="C36" s="2">
        <v>27</v>
      </c>
      <c r="D36" s="2" t="s">
        <v>27</v>
      </c>
      <c r="E36" s="2" t="s">
        <v>22</v>
      </c>
      <c r="F36" s="3">
        <v>45312</v>
      </c>
      <c r="G36" s="3">
        <v>45652</v>
      </c>
      <c r="H36" s="2">
        <v>1200</v>
      </c>
      <c r="I36" s="2">
        <v>27</v>
      </c>
      <c r="J36" s="2" t="s">
        <v>18</v>
      </c>
      <c r="K36" s="4"/>
    </row>
    <row r="37" spans="1:11" ht="15.75" customHeight="1" x14ac:dyDescent="0.25"/>
    <row r="38" spans="1:11" ht="15.75" customHeight="1" x14ac:dyDescent="0.25"/>
    <row r="39" spans="1:11" ht="15.75" customHeight="1" x14ac:dyDescent="0.25"/>
    <row r="40" spans="1:11" ht="15.75" customHeight="1" x14ac:dyDescent="0.25"/>
    <row r="41" spans="1:11" ht="15.75" customHeight="1" x14ac:dyDescent="0.25"/>
    <row r="42" spans="1:11" ht="15.75" customHeight="1" x14ac:dyDescent="0.25"/>
    <row r="43" spans="1:11" ht="15.75" customHeight="1" x14ac:dyDescent="0.25"/>
    <row r="44" spans="1:11" ht="15.75" customHeight="1" x14ac:dyDescent="0.25"/>
    <row r="45" spans="1:11" ht="15.75" customHeight="1" x14ac:dyDescent="0.25"/>
    <row r="46" spans="1:11" ht="15.75" customHeight="1" x14ac:dyDescent="0.25"/>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80D-762E-4807-BBE9-13B54978CBC6}">
  <dimension ref="A1:L1000"/>
  <sheetViews>
    <sheetView workbookViewId="0">
      <selection activeCell="B1" sqref="B1:B36"/>
    </sheetView>
  </sheetViews>
  <sheetFormatPr defaultColWidth="14.42578125" defaultRowHeight="15" customHeight="1" x14ac:dyDescent="0.25"/>
  <cols>
    <col min="1" max="1" width="13.42578125" bestFit="1" customWidth="1"/>
    <col min="2" max="2" width="16.140625" bestFit="1" customWidth="1"/>
    <col min="3" max="3" width="9" bestFit="1" customWidth="1"/>
    <col min="4" max="4" width="12.28515625" bestFit="1" customWidth="1"/>
    <col min="5" max="5" width="22.5703125" bestFit="1" customWidth="1"/>
    <col min="6" max="6" width="14.85546875" bestFit="1" customWidth="1"/>
    <col min="7" max="7" width="14" bestFit="1" customWidth="1"/>
    <col min="8" max="8" width="17.42578125" bestFit="1" customWidth="1"/>
    <col min="9" max="9" width="15.85546875" bestFit="1" customWidth="1"/>
    <col min="10" max="10" width="19.42578125" customWidth="1"/>
    <col min="11" max="11" width="26.7109375" customWidth="1"/>
    <col min="12" max="12" width="32" bestFit="1" customWidth="1"/>
    <col min="13" max="26" width="8.7109375" customWidth="1"/>
  </cols>
  <sheetData>
    <row r="1" spans="1:12" x14ac:dyDescent="0.25">
      <c r="A1" s="1" t="s">
        <v>107</v>
      </c>
      <c r="B1" s="7" t="s">
        <v>0</v>
      </c>
      <c r="C1" s="1" t="s">
        <v>1</v>
      </c>
      <c r="D1" s="1" t="s">
        <v>2</v>
      </c>
      <c r="E1" s="1" t="s">
        <v>3</v>
      </c>
      <c r="F1" s="1" t="s">
        <v>4</v>
      </c>
      <c r="G1" s="1" t="s">
        <v>5</v>
      </c>
      <c r="H1" s="1" t="s">
        <v>6</v>
      </c>
      <c r="I1" s="1" t="s">
        <v>7</v>
      </c>
      <c r="J1" s="1" t="s">
        <v>8</v>
      </c>
      <c r="K1" s="1" t="s">
        <v>9</v>
      </c>
      <c r="L1" s="1" t="s">
        <v>108</v>
      </c>
    </row>
    <row r="2" spans="1:12" x14ac:dyDescent="0.25">
      <c r="A2" s="2" t="s">
        <v>10</v>
      </c>
      <c r="B2" s="2" t="s">
        <v>11</v>
      </c>
      <c r="C2" s="2">
        <v>59</v>
      </c>
      <c r="D2" s="2" t="s">
        <v>12</v>
      </c>
      <c r="E2" s="2" t="s">
        <v>13</v>
      </c>
      <c r="F2" s="3">
        <v>45235</v>
      </c>
      <c r="G2" s="3">
        <v>45425</v>
      </c>
      <c r="H2" s="2">
        <v>800</v>
      </c>
      <c r="I2" s="2">
        <v>25</v>
      </c>
      <c r="J2" s="2" t="s">
        <v>14</v>
      </c>
      <c r="K2" s="2" t="s">
        <v>15</v>
      </c>
      <c r="L2" s="5">
        <f>ROUNDDOWN((Table13[[#This Row],[End_Date]]-Table13[[#This Row],[Start_Date]])/30,0)</f>
        <v>6</v>
      </c>
    </row>
    <row r="3" spans="1:12" x14ac:dyDescent="0.25">
      <c r="A3" s="2" t="s">
        <v>16</v>
      </c>
      <c r="B3" s="2" t="s">
        <v>17</v>
      </c>
      <c r="C3" s="2">
        <v>27</v>
      </c>
      <c r="D3" s="2" t="s">
        <v>12</v>
      </c>
      <c r="E3" s="2" t="s">
        <v>13</v>
      </c>
      <c r="F3" s="3">
        <v>45714</v>
      </c>
      <c r="G3" s="3">
        <v>45740</v>
      </c>
      <c r="H3" s="2">
        <v>800</v>
      </c>
      <c r="I3" s="2">
        <v>20</v>
      </c>
      <c r="J3" s="2" t="s">
        <v>18</v>
      </c>
      <c r="K3" s="2" t="s">
        <v>19</v>
      </c>
      <c r="L3" s="5">
        <f>ROUNDDOWN((Table13[[#This Row],[End_Date]]-Table13[[#This Row],[Start_Date]])/30,0)</f>
        <v>0</v>
      </c>
    </row>
    <row r="4" spans="1:12" x14ac:dyDescent="0.25">
      <c r="A4" s="2" t="s">
        <v>20</v>
      </c>
      <c r="B4" s="2" t="s">
        <v>21</v>
      </c>
      <c r="C4" s="2">
        <v>24</v>
      </c>
      <c r="D4" s="2" t="s">
        <v>12</v>
      </c>
      <c r="E4" s="2" t="s">
        <v>22</v>
      </c>
      <c r="F4" s="3">
        <v>45191</v>
      </c>
      <c r="G4" s="3">
        <v>45371</v>
      </c>
      <c r="H4" s="2">
        <v>1200</v>
      </c>
      <c r="I4" s="2">
        <v>18</v>
      </c>
      <c r="J4" s="2" t="s">
        <v>23</v>
      </c>
      <c r="K4" s="2" t="s">
        <v>24</v>
      </c>
      <c r="L4" s="5">
        <f>ROUNDDOWN((Table13[[#This Row],[End_Date]]-Table13[[#This Row],[Start_Date]])/30,0)</f>
        <v>6</v>
      </c>
    </row>
    <row r="5" spans="1:12" x14ac:dyDescent="0.25">
      <c r="A5" s="2" t="s">
        <v>25</v>
      </c>
      <c r="B5" s="2" t="s">
        <v>26</v>
      </c>
      <c r="C5" s="2">
        <v>31</v>
      </c>
      <c r="D5" s="2" t="s">
        <v>27</v>
      </c>
      <c r="E5" s="2" t="s">
        <v>22</v>
      </c>
      <c r="F5" s="3">
        <v>45479</v>
      </c>
      <c r="G5" s="3">
        <v>45587</v>
      </c>
      <c r="H5" s="2">
        <v>1200</v>
      </c>
      <c r="I5" s="2">
        <v>16</v>
      </c>
      <c r="J5" s="2" t="s">
        <v>23</v>
      </c>
      <c r="K5" s="2" t="s">
        <v>28</v>
      </c>
      <c r="L5" s="5">
        <f>ROUNDDOWN((Table13[[#This Row],[End_Date]]-Table13[[#This Row],[Start_Date]])/30,0)</f>
        <v>3</v>
      </c>
    </row>
    <row r="6" spans="1:12" x14ac:dyDescent="0.25">
      <c r="A6" s="2" t="s">
        <v>29</v>
      </c>
      <c r="B6" s="2" t="s">
        <v>30</v>
      </c>
      <c r="C6" s="2">
        <v>19</v>
      </c>
      <c r="D6" s="2" t="s">
        <v>12</v>
      </c>
      <c r="E6" s="2" t="s">
        <v>31</v>
      </c>
      <c r="F6" s="3">
        <v>45286</v>
      </c>
      <c r="G6" s="3">
        <v>45501</v>
      </c>
      <c r="H6" s="2">
        <v>2500</v>
      </c>
      <c r="I6" s="2">
        <v>12</v>
      </c>
      <c r="J6" s="2" t="s">
        <v>14</v>
      </c>
      <c r="K6" s="2" t="s">
        <v>32</v>
      </c>
      <c r="L6" s="5">
        <f>ROUNDDOWN((Table13[[#This Row],[End_Date]]-Table13[[#This Row],[Start_Date]])/30,0)</f>
        <v>7</v>
      </c>
    </row>
    <row r="7" spans="1:12" x14ac:dyDescent="0.25">
      <c r="A7" s="2" t="s">
        <v>33</v>
      </c>
      <c r="B7" s="2" t="s">
        <v>34</v>
      </c>
      <c r="C7" s="2">
        <v>40</v>
      </c>
      <c r="D7" s="2" t="s">
        <v>12</v>
      </c>
      <c r="E7" s="2" t="s">
        <v>13</v>
      </c>
      <c r="F7" s="3">
        <v>45317</v>
      </c>
      <c r="G7" s="3">
        <v>45392</v>
      </c>
      <c r="H7" s="2">
        <v>800</v>
      </c>
      <c r="I7" s="2">
        <v>14</v>
      </c>
      <c r="J7" s="2" t="s">
        <v>35</v>
      </c>
      <c r="K7" s="2" t="s">
        <v>36</v>
      </c>
      <c r="L7" s="5">
        <f>ROUNDDOWN((Table13[[#This Row],[End_Date]]-Table13[[#This Row],[Start_Date]])/30,0)</f>
        <v>2</v>
      </c>
    </row>
    <row r="8" spans="1:12" x14ac:dyDescent="0.25">
      <c r="A8" s="2" t="s">
        <v>37</v>
      </c>
      <c r="B8" s="2" t="s">
        <v>38</v>
      </c>
      <c r="C8" s="2">
        <v>41</v>
      </c>
      <c r="D8" s="2" t="s">
        <v>27</v>
      </c>
      <c r="E8" s="2" t="s">
        <v>13</v>
      </c>
      <c r="F8" s="3">
        <v>45588</v>
      </c>
      <c r="G8" s="3">
        <v>45677</v>
      </c>
      <c r="H8" s="2">
        <v>800</v>
      </c>
      <c r="I8" s="2">
        <v>25</v>
      </c>
      <c r="J8" s="2" t="s">
        <v>18</v>
      </c>
      <c r="K8" s="4"/>
      <c r="L8" s="5">
        <f>ROUNDDOWN((Table13[[#This Row],[End_Date]]-Table13[[#This Row],[Start_Date]])/30,0)</f>
        <v>2</v>
      </c>
    </row>
    <row r="9" spans="1:12" x14ac:dyDescent="0.25">
      <c r="A9" s="2" t="s">
        <v>39</v>
      </c>
      <c r="B9" s="2" t="s">
        <v>40</v>
      </c>
      <c r="C9" s="2">
        <v>43</v>
      </c>
      <c r="D9" s="2" t="s">
        <v>12</v>
      </c>
      <c r="E9" s="2" t="s">
        <v>41</v>
      </c>
      <c r="F9" s="3">
        <v>45450</v>
      </c>
      <c r="G9" s="3">
        <v>45563</v>
      </c>
      <c r="H9" s="2">
        <v>1800</v>
      </c>
      <c r="I9" s="2">
        <v>28</v>
      </c>
      <c r="J9" s="2" t="s">
        <v>42</v>
      </c>
      <c r="K9" s="4"/>
      <c r="L9" s="5">
        <f>ROUNDDOWN((Table13[[#This Row],[End_Date]]-Table13[[#This Row],[Start_Date]])/30,0)</f>
        <v>3</v>
      </c>
    </row>
    <row r="10" spans="1:12" x14ac:dyDescent="0.25">
      <c r="A10" s="2" t="s">
        <v>43</v>
      </c>
      <c r="B10" s="2" t="s">
        <v>44</v>
      </c>
      <c r="C10" s="2">
        <v>42</v>
      </c>
      <c r="D10" s="2" t="s">
        <v>12</v>
      </c>
      <c r="E10" s="2" t="s">
        <v>13</v>
      </c>
      <c r="F10" s="3">
        <v>45569</v>
      </c>
      <c r="G10" s="3">
        <v>45582</v>
      </c>
      <c r="H10" s="2">
        <v>800</v>
      </c>
      <c r="I10" s="2">
        <v>3</v>
      </c>
      <c r="J10" s="2" t="s">
        <v>42</v>
      </c>
      <c r="K10" s="2" t="s">
        <v>45</v>
      </c>
      <c r="L10" s="5">
        <f>ROUNDDOWN((Table13[[#This Row],[End_Date]]-Table13[[#This Row],[Start_Date]])/30,0)</f>
        <v>0</v>
      </c>
    </row>
    <row r="11" spans="1:12" x14ac:dyDescent="0.25">
      <c r="A11" s="2" t="s">
        <v>46</v>
      </c>
      <c r="B11" s="2" t="s">
        <v>47</v>
      </c>
      <c r="C11" s="2">
        <v>37</v>
      </c>
      <c r="D11" s="2" t="s">
        <v>12</v>
      </c>
      <c r="E11" s="2" t="s">
        <v>22</v>
      </c>
      <c r="F11" s="3">
        <v>45202</v>
      </c>
      <c r="G11" s="3">
        <v>45280</v>
      </c>
      <c r="H11" s="2">
        <v>1200</v>
      </c>
      <c r="I11" s="2">
        <v>29</v>
      </c>
      <c r="J11" s="2" t="s">
        <v>35</v>
      </c>
      <c r="K11" s="2" t="s">
        <v>48</v>
      </c>
      <c r="L11" s="5">
        <f>ROUNDDOWN((Table13[[#This Row],[End_Date]]-Table13[[#This Row],[Start_Date]])/30,0)</f>
        <v>2</v>
      </c>
    </row>
    <row r="12" spans="1:12" x14ac:dyDescent="0.25">
      <c r="A12" s="2" t="s">
        <v>49</v>
      </c>
      <c r="B12" s="2" t="s">
        <v>50</v>
      </c>
      <c r="C12" s="2">
        <v>48</v>
      </c>
      <c r="D12" s="2" t="s">
        <v>27</v>
      </c>
      <c r="E12" s="2" t="s">
        <v>22</v>
      </c>
      <c r="F12" s="3">
        <v>45297</v>
      </c>
      <c r="G12" s="3">
        <v>45459</v>
      </c>
      <c r="H12" s="2">
        <v>1200</v>
      </c>
      <c r="I12" s="2">
        <v>13</v>
      </c>
      <c r="J12" s="2" t="s">
        <v>14</v>
      </c>
      <c r="K12" s="2" t="s">
        <v>51</v>
      </c>
      <c r="L12" s="5">
        <f>ROUNDDOWN((Table13[[#This Row],[End_Date]]-Table13[[#This Row],[Start_Date]])/30,0)</f>
        <v>5</v>
      </c>
    </row>
    <row r="13" spans="1:12" x14ac:dyDescent="0.25">
      <c r="A13" s="2" t="s">
        <v>52</v>
      </c>
      <c r="B13" s="2" t="s">
        <v>53</v>
      </c>
      <c r="C13" s="2">
        <v>36</v>
      </c>
      <c r="D13" s="2" t="s">
        <v>12</v>
      </c>
      <c r="E13" s="2" t="s">
        <v>22</v>
      </c>
      <c r="F13" s="3">
        <v>45154</v>
      </c>
      <c r="G13" s="3">
        <v>45568</v>
      </c>
      <c r="H13" s="2">
        <v>1200</v>
      </c>
      <c r="I13" s="2">
        <v>19</v>
      </c>
      <c r="J13" s="2" t="s">
        <v>42</v>
      </c>
      <c r="K13" s="2" t="s">
        <v>54</v>
      </c>
      <c r="L13" s="5">
        <f>ROUNDDOWN((Table13[[#This Row],[End_Date]]-Table13[[#This Row],[Start_Date]])/30,0)</f>
        <v>13</v>
      </c>
    </row>
    <row r="14" spans="1:12" x14ac:dyDescent="0.25">
      <c r="A14" s="2" t="s">
        <v>55</v>
      </c>
      <c r="B14" s="2" t="s">
        <v>56</v>
      </c>
      <c r="C14" s="2">
        <v>48</v>
      </c>
      <c r="D14" s="2" t="s">
        <v>27</v>
      </c>
      <c r="E14" s="2" t="s">
        <v>41</v>
      </c>
      <c r="F14" s="3">
        <v>45556</v>
      </c>
      <c r="G14" s="3">
        <v>45641</v>
      </c>
      <c r="H14" s="2">
        <v>1800</v>
      </c>
      <c r="I14" s="2">
        <v>22</v>
      </c>
      <c r="J14" s="2" t="s">
        <v>42</v>
      </c>
      <c r="K14" s="4"/>
      <c r="L14" s="5">
        <f>ROUNDDOWN((Table13[[#This Row],[End_Date]]-Table13[[#This Row],[Start_Date]])/30,0)</f>
        <v>2</v>
      </c>
    </row>
    <row r="15" spans="1:12" x14ac:dyDescent="0.25">
      <c r="A15" s="2" t="s">
        <v>57</v>
      </c>
      <c r="B15" s="2" t="s">
        <v>58</v>
      </c>
      <c r="C15" s="2">
        <v>39</v>
      </c>
      <c r="D15" s="2" t="s">
        <v>12</v>
      </c>
      <c r="E15" s="2" t="s">
        <v>22</v>
      </c>
      <c r="F15" s="3">
        <v>45065</v>
      </c>
      <c r="G15" s="3">
        <v>45242</v>
      </c>
      <c r="H15" s="2">
        <v>1200</v>
      </c>
      <c r="I15" s="2">
        <v>28</v>
      </c>
      <c r="J15" s="2" t="s">
        <v>35</v>
      </c>
      <c r="K15" s="4"/>
      <c r="L15" s="5">
        <f>ROUNDDOWN((Table13[[#This Row],[End_Date]]-Table13[[#This Row],[Start_Date]])/30,0)</f>
        <v>5</v>
      </c>
    </row>
    <row r="16" spans="1:12" x14ac:dyDescent="0.25">
      <c r="A16" s="2" t="s">
        <v>59</v>
      </c>
      <c r="B16" s="2" t="s">
        <v>60</v>
      </c>
      <c r="C16" s="2">
        <v>44</v>
      </c>
      <c r="D16" s="2" t="s">
        <v>27</v>
      </c>
      <c r="E16" s="2" t="s">
        <v>13</v>
      </c>
      <c r="F16" s="3">
        <v>45333</v>
      </c>
      <c r="G16" s="3">
        <v>45540</v>
      </c>
      <c r="H16" s="2">
        <v>800</v>
      </c>
      <c r="I16" s="2">
        <v>8</v>
      </c>
      <c r="J16" s="2" t="s">
        <v>23</v>
      </c>
      <c r="K16" s="4"/>
      <c r="L16" s="5">
        <f>ROUNDDOWN((Table13[[#This Row],[End_Date]]-Table13[[#This Row],[Start_Date]])/30,0)</f>
        <v>6</v>
      </c>
    </row>
    <row r="17" spans="1:12" x14ac:dyDescent="0.25">
      <c r="A17" s="2" t="s">
        <v>61</v>
      </c>
      <c r="B17" s="2" t="s">
        <v>62</v>
      </c>
      <c r="C17" s="2">
        <v>39</v>
      </c>
      <c r="D17" s="2" t="s">
        <v>12</v>
      </c>
      <c r="E17" s="2" t="s">
        <v>31</v>
      </c>
      <c r="F17" s="3">
        <v>45702</v>
      </c>
      <c r="G17" s="3">
        <v>45732</v>
      </c>
      <c r="H17" s="2">
        <v>2500</v>
      </c>
      <c r="I17" s="2">
        <v>14</v>
      </c>
      <c r="J17" s="2" t="s">
        <v>42</v>
      </c>
      <c r="K17" s="4"/>
      <c r="L17" s="5">
        <f>ROUNDDOWN((Table13[[#This Row],[End_Date]]-Table13[[#This Row],[Start_Date]])/30,0)</f>
        <v>1</v>
      </c>
    </row>
    <row r="18" spans="1:12" x14ac:dyDescent="0.25">
      <c r="A18" s="2" t="s">
        <v>63</v>
      </c>
      <c r="B18" s="2" t="s">
        <v>64</v>
      </c>
      <c r="C18" s="2">
        <v>35</v>
      </c>
      <c r="D18" s="2" t="s">
        <v>12</v>
      </c>
      <c r="E18" s="2" t="s">
        <v>22</v>
      </c>
      <c r="F18" s="3">
        <v>45329</v>
      </c>
      <c r="G18" s="3">
        <v>45685</v>
      </c>
      <c r="H18" s="2">
        <v>1200</v>
      </c>
      <c r="I18" s="2">
        <v>25</v>
      </c>
      <c r="J18" s="2" t="s">
        <v>23</v>
      </c>
      <c r="K18" s="4"/>
      <c r="L18" s="5">
        <f>ROUNDDOWN((Table13[[#This Row],[End_Date]]-Table13[[#This Row],[Start_Date]])/30,0)</f>
        <v>11</v>
      </c>
    </row>
    <row r="19" spans="1:12" x14ac:dyDescent="0.25">
      <c r="A19" s="2" t="s">
        <v>65</v>
      </c>
      <c r="B19" s="2" t="s">
        <v>66</v>
      </c>
      <c r="C19" s="2">
        <v>56</v>
      </c>
      <c r="D19" s="2" t="s">
        <v>27</v>
      </c>
      <c r="E19" s="2" t="s">
        <v>31</v>
      </c>
      <c r="F19" s="3">
        <v>45213</v>
      </c>
      <c r="G19" s="3">
        <v>45649</v>
      </c>
      <c r="H19" s="2">
        <v>2500</v>
      </c>
      <c r="I19" s="2">
        <v>13</v>
      </c>
      <c r="J19" s="2" t="s">
        <v>67</v>
      </c>
      <c r="K19" s="4"/>
      <c r="L19" s="5">
        <f>ROUNDDOWN((Table13[[#This Row],[End_Date]]-Table13[[#This Row],[Start_Date]])/30,0)</f>
        <v>14</v>
      </c>
    </row>
    <row r="20" spans="1:12" x14ac:dyDescent="0.25">
      <c r="A20" s="2" t="s">
        <v>68</v>
      </c>
      <c r="B20" s="2" t="s">
        <v>69</v>
      </c>
      <c r="C20" s="2">
        <v>27</v>
      </c>
      <c r="D20" s="2" t="s">
        <v>27</v>
      </c>
      <c r="E20" s="2" t="s">
        <v>13</v>
      </c>
      <c r="F20" s="3">
        <v>45354</v>
      </c>
      <c r="G20" s="3">
        <v>45664</v>
      </c>
      <c r="H20" s="2">
        <v>800</v>
      </c>
      <c r="I20" s="2">
        <v>26</v>
      </c>
      <c r="J20" s="2" t="s">
        <v>35</v>
      </c>
      <c r="K20" s="4"/>
      <c r="L20" s="5">
        <f>ROUNDDOWN((Table13[[#This Row],[End_Date]]-Table13[[#This Row],[Start_Date]])/30,0)</f>
        <v>10</v>
      </c>
    </row>
    <row r="21" spans="1:12" ht="15.75" customHeight="1" x14ac:dyDescent="0.25">
      <c r="A21" s="2" t="s">
        <v>70</v>
      </c>
      <c r="B21" s="2" t="s">
        <v>71</v>
      </c>
      <c r="C21" s="2">
        <v>28</v>
      </c>
      <c r="D21" s="2" t="s">
        <v>12</v>
      </c>
      <c r="E21" s="2" t="s">
        <v>31</v>
      </c>
      <c r="F21" s="3">
        <v>45417</v>
      </c>
      <c r="G21" s="3">
        <v>45608</v>
      </c>
      <c r="H21" s="2">
        <v>2500</v>
      </c>
      <c r="I21" s="2">
        <v>21</v>
      </c>
      <c r="J21" s="2" t="s">
        <v>35</v>
      </c>
      <c r="K21" s="2" t="s">
        <v>72</v>
      </c>
      <c r="L21" s="5">
        <f>ROUNDDOWN((Table13[[#This Row],[End_Date]]-Table13[[#This Row],[Start_Date]])/30,0)</f>
        <v>6</v>
      </c>
    </row>
    <row r="22" spans="1:12" ht="15.75" customHeight="1" x14ac:dyDescent="0.25">
      <c r="A22" s="2" t="s">
        <v>73</v>
      </c>
      <c r="B22" s="2" t="s">
        <v>74</v>
      </c>
      <c r="C22" s="2">
        <v>57</v>
      </c>
      <c r="D22" s="2" t="s">
        <v>27</v>
      </c>
      <c r="E22" s="2" t="s">
        <v>41</v>
      </c>
      <c r="F22" s="3">
        <v>45146</v>
      </c>
      <c r="G22" s="3">
        <v>45674</v>
      </c>
      <c r="H22" s="2">
        <v>1800</v>
      </c>
      <c r="I22" s="2">
        <v>19</v>
      </c>
      <c r="J22" s="2" t="s">
        <v>35</v>
      </c>
      <c r="K22" s="4"/>
      <c r="L22" s="5">
        <f>ROUNDDOWN((Table13[[#This Row],[End_Date]]-Table13[[#This Row],[Start_Date]])/30,0)</f>
        <v>17</v>
      </c>
    </row>
    <row r="23" spans="1:12" ht="15.75" customHeight="1" x14ac:dyDescent="0.25">
      <c r="A23" s="2" t="s">
        <v>75</v>
      </c>
      <c r="B23" s="2" t="s">
        <v>76</v>
      </c>
      <c r="C23" s="2">
        <v>26</v>
      </c>
      <c r="D23" s="2" t="s">
        <v>27</v>
      </c>
      <c r="E23" s="2" t="s">
        <v>41</v>
      </c>
      <c r="F23" s="3">
        <v>45320</v>
      </c>
      <c r="G23" s="3">
        <v>45616</v>
      </c>
      <c r="H23" s="2">
        <v>1800</v>
      </c>
      <c r="I23" s="2">
        <v>5</v>
      </c>
      <c r="J23" s="2" t="s">
        <v>14</v>
      </c>
      <c r="K23" s="4"/>
      <c r="L23" s="5">
        <f>ROUNDDOWN((Table13[[#This Row],[End_Date]]-Table13[[#This Row],[Start_Date]])/30,0)</f>
        <v>9</v>
      </c>
    </row>
    <row r="24" spans="1:12" ht="15.75" customHeight="1" x14ac:dyDescent="0.25">
      <c r="A24" s="2" t="s">
        <v>77</v>
      </c>
      <c r="B24" s="2" t="s">
        <v>78</v>
      </c>
      <c r="C24" s="2">
        <v>48</v>
      </c>
      <c r="D24" s="2" t="s">
        <v>12</v>
      </c>
      <c r="E24" s="2" t="s">
        <v>41</v>
      </c>
      <c r="F24" s="3">
        <v>45451</v>
      </c>
      <c r="G24" s="3">
        <v>45455</v>
      </c>
      <c r="H24" s="2">
        <v>1800</v>
      </c>
      <c r="I24" s="2">
        <v>18</v>
      </c>
      <c r="J24" s="2" t="s">
        <v>67</v>
      </c>
      <c r="K24" s="4"/>
      <c r="L24" s="5">
        <f>ROUNDDOWN((Table13[[#This Row],[End_Date]]-Table13[[#This Row],[Start_Date]])/30,0)</f>
        <v>0</v>
      </c>
    </row>
    <row r="25" spans="1:12" ht="15.75" customHeight="1" x14ac:dyDescent="0.25">
      <c r="A25" s="2" t="s">
        <v>79</v>
      </c>
      <c r="B25" s="2" t="s">
        <v>80</v>
      </c>
      <c r="C25" s="2">
        <v>25</v>
      </c>
      <c r="D25" s="2" t="s">
        <v>27</v>
      </c>
      <c r="E25" s="2" t="s">
        <v>22</v>
      </c>
      <c r="F25" s="3">
        <v>45439</v>
      </c>
      <c r="G25" s="3">
        <v>45730</v>
      </c>
      <c r="H25" s="2">
        <v>1200</v>
      </c>
      <c r="I25" s="2">
        <v>6</v>
      </c>
      <c r="J25" s="2" t="s">
        <v>14</v>
      </c>
      <c r="K25" s="4"/>
      <c r="L25" s="5">
        <f>ROUNDDOWN((Table13[[#This Row],[End_Date]]-Table13[[#This Row],[Start_Date]])/30,0)</f>
        <v>9</v>
      </c>
    </row>
    <row r="26" spans="1:12" ht="15.75" customHeight="1" x14ac:dyDescent="0.25">
      <c r="A26" s="2" t="s">
        <v>81</v>
      </c>
      <c r="B26" s="2" t="s">
        <v>82</v>
      </c>
      <c r="C26" s="2">
        <v>53</v>
      </c>
      <c r="D26" s="2" t="s">
        <v>12</v>
      </c>
      <c r="E26" s="2" t="s">
        <v>41</v>
      </c>
      <c r="F26" s="3">
        <v>45286</v>
      </c>
      <c r="G26" s="3">
        <v>45372</v>
      </c>
      <c r="H26" s="2">
        <v>1800</v>
      </c>
      <c r="I26" s="2">
        <v>17</v>
      </c>
      <c r="J26" s="2" t="s">
        <v>35</v>
      </c>
      <c r="K26" s="2" t="s">
        <v>83</v>
      </c>
      <c r="L26" s="5">
        <f>ROUNDDOWN((Table13[[#This Row],[End_Date]]-Table13[[#This Row],[Start_Date]])/30,0)</f>
        <v>2</v>
      </c>
    </row>
    <row r="27" spans="1:12" ht="15.75" customHeight="1" x14ac:dyDescent="0.25">
      <c r="A27" s="2" t="s">
        <v>84</v>
      </c>
      <c r="B27" s="2" t="s">
        <v>85</v>
      </c>
      <c r="C27" s="2">
        <v>42</v>
      </c>
      <c r="D27" s="2" t="s">
        <v>27</v>
      </c>
      <c r="E27" s="2" t="s">
        <v>22</v>
      </c>
      <c r="F27" s="3">
        <v>45702</v>
      </c>
      <c r="G27" s="3">
        <v>45727</v>
      </c>
      <c r="H27" s="2">
        <v>1200</v>
      </c>
      <c r="I27" s="2">
        <v>3</v>
      </c>
      <c r="J27" s="2" t="s">
        <v>67</v>
      </c>
      <c r="K27" s="4"/>
      <c r="L27" s="5">
        <f>ROUNDDOWN((Table13[[#This Row],[End_Date]]-Table13[[#This Row],[Start_Date]])/30,0)</f>
        <v>0</v>
      </c>
    </row>
    <row r="28" spans="1:12" ht="15.75" customHeight="1" x14ac:dyDescent="0.25">
      <c r="A28" s="2" t="s">
        <v>86</v>
      </c>
      <c r="B28" s="2" t="s">
        <v>87</v>
      </c>
      <c r="C28" s="2">
        <v>24</v>
      </c>
      <c r="D28" s="2" t="s">
        <v>12</v>
      </c>
      <c r="E28" s="2" t="s">
        <v>31</v>
      </c>
      <c r="F28" s="3">
        <v>45698</v>
      </c>
      <c r="G28" s="3">
        <v>45726</v>
      </c>
      <c r="H28" s="2">
        <v>2500</v>
      </c>
      <c r="I28" s="2">
        <v>28</v>
      </c>
      <c r="J28" s="2" t="s">
        <v>35</v>
      </c>
      <c r="K28" s="4"/>
      <c r="L28" s="5">
        <f>ROUNDDOWN((Table13[[#This Row],[End_Date]]-Table13[[#This Row],[Start_Date]])/30,0)</f>
        <v>0</v>
      </c>
    </row>
    <row r="29" spans="1:12" ht="15.75" customHeight="1" x14ac:dyDescent="0.25">
      <c r="A29" s="2" t="s">
        <v>88</v>
      </c>
      <c r="B29" s="2" t="s">
        <v>89</v>
      </c>
      <c r="C29" s="2">
        <v>53</v>
      </c>
      <c r="D29" s="2" t="s">
        <v>12</v>
      </c>
      <c r="E29" s="2" t="s">
        <v>22</v>
      </c>
      <c r="F29" s="3">
        <v>45614</v>
      </c>
      <c r="G29" s="3">
        <v>45645</v>
      </c>
      <c r="H29" s="2">
        <v>1200</v>
      </c>
      <c r="I29" s="2">
        <v>23</v>
      </c>
      <c r="J29" s="2" t="s">
        <v>18</v>
      </c>
      <c r="K29" s="4"/>
      <c r="L29" s="5">
        <f>ROUNDDOWN((Table13[[#This Row],[End_Date]]-Table13[[#This Row],[Start_Date]])/30,0)</f>
        <v>1</v>
      </c>
    </row>
    <row r="30" spans="1:12" ht="15.75" customHeight="1" x14ac:dyDescent="0.25">
      <c r="A30" s="2" t="s">
        <v>90</v>
      </c>
      <c r="B30" s="2" t="s">
        <v>91</v>
      </c>
      <c r="C30" s="2">
        <v>29</v>
      </c>
      <c r="D30" s="2" t="s">
        <v>27</v>
      </c>
      <c r="E30" s="2" t="s">
        <v>31</v>
      </c>
      <c r="F30" s="3">
        <v>45401</v>
      </c>
      <c r="G30" s="3">
        <v>45408</v>
      </c>
      <c r="H30" s="2">
        <v>2500</v>
      </c>
      <c r="I30" s="2">
        <v>8</v>
      </c>
      <c r="J30" s="2" t="s">
        <v>23</v>
      </c>
      <c r="K30" s="4"/>
      <c r="L30" s="5">
        <f>ROUNDDOWN((Table13[[#This Row],[End_Date]]-Table13[[#This Row],[Start_Date]])/30,0)</f>
        <v>0</v>
      </c>
    </row>
    <row r="31" spans="1:12" ht="15.75" customHeight="1" x14ac:dyDescent="0.25">
      <c r="A31" s="2" t="s">
        <v>92</v>
      </c>
      <c r="B31" s="2" t="s">
        <v>93</v>
      </c>
      <c r="C31" s="2">
        <v>31</v>
      </c>
      <c r="D31" s="2" t="s">
        <v>27</v>
      </c>
      <c r="E31" s="2" t="s">
        <v>31</v>
      </c>
      <c r="F31" s="3">
        <v>45667</v>
      </c>
      <c r="G31" s="3">
        <v>45745</v>
      </c>
      <c r="H31" s="2">
        <v>2500</v>
      </c>
      <c r="I31" s="2">
        <v>23</v>
      </c>
      <c r="J31" s="2" t="s">
        <v>42</v>
      </c>
      <c r="K31" s="2" t="s">
        <v>94</v>
      </c>
      <c r="L31" s="5">
        <f>ROUNDDOWN((Table13[[#This Row],[End_Date]]-Table13[[#This Row],[Start_Date]])/30,0)</f>
        <v>2</v>
      </c>
    </row>
    <row r="32" spans="1:12" ht="15.75" customHeight="1" x14ac:dyDescent="0.25">
      <c r="A32" s="2" t="s">
        <v>95</v>
      </c>
      <c r="B32" s="2" t="s">
        <v>96</v>
      </c>
      <c r="C32" s="2">
        <v>52</v>
      </c>
      <c r="D32" s="2" t="s">
        <v>27</v>
      </c>
      <c r="E32" s="2" t="s">
        <v>13</v>
      </c>
      <c r="F32" s="3">
        <v>45088</v>
      </c>
      <c r="G32" s="3">
        <v>45656</v>
      </c>
      <c r="H32" s="2">
        <v>800</v>
      </c>
      <c r="I32" s="2">
        <v>9</v>
      </c>
      <c r="J32" s="2" t="s">
        <v>67</v>
      </c>
      <c r="K32" s="2" t="s">
        <v>97</v>
      </c>
      <c r="L32" s="5">
        <f>ROUNDDOWN((Table13[[#This Row],[End_Date]]-Table13[[#This Row],[Start_Date]])/30,0)</f>
        <v>18</v>
      </c>
    </row>
    <row r="33" spans="1:12" ht="15.75" customHeight="1" x14ac:dyDescent="0.25">
      <c r="A33" s="2" t="s">
        <v>98</v>
      </c>
      <c r="B33" s="2" t="s">
        <v>99</v>
      </c>
      <c r="C33" s="2">
        <v>20</v>
      </c>
      <c r="D33" s="2" t="s">
        <v>12</v>
      </c>
      <c r="E33" s="2" t="s">
        <v>22</v>
      </c>
      <c r="F33" s="3">
        <v>45391</v>
      </c>
      <c r="G33" s="3">
        <v>45604</v>
      </c>
      <c r="H33" s="2">
        <v>1200</v>
      </c>
      <c r="I33" s="2">
        <v>2</v>
      </c>
      <c r="J33" s="2" t="s">
        <v>35</v>
      </c>
      <c r="K33" s="4"/>
      <c r="L33" s="5">
        <f>ROUNDDOWN((Table13[[#This Row],[End_Date]]-Table13[[#This Row],[Start_Date]])/30,0)</f>
        <v>7</v>
      </c>
    </row>
    <row r="34" spans="1:12" ht="15.75" customHeight="1" x14ac:dyDescent="0.25">
      <c r="A34" s="2" t="s">
        <v>100</v>
      </c>
      <c r="B34" s="2" t="s">
        <v>101</v>
      </c>
      <c r="C34" s="2">
        <v>22</v>
      </c>
      <c r="D34" s="2" t="s">
        <v>12</v>
      </c>
      <c r="E34" s="2" t="s">
        <v>13</v>
      </c>
      <c r="F34" s="3">
        <v>45699</v>
      </c>
      <c r="G34" s="3">
        <v>45740</v>
      </c>
      <c r="H34" s="2">
        <v>800</v>
      </c>
      <c r="I34" s="2">
        <v>30</v>
      </c>
      <c r="J34" s="2" t="s">
        <v>35</v>
      </c>
      <c r="K34" s="4"/>
      <c r="L34" s="5">
        <f>ROUNDDOWN((Table13[[#This Row],[End_Date]]-Table13[[#This Row],[Start_Date]])/30,0)</f>
        <v>1</v>
      </c>
    </row>
    <row r="35" spans="1:12" ht="15.75" customHeight="1" x14ac:dyDescent="0.25">
      <c r="A35" s="2" t="s">
        <v>102</v>
      </c>
      <c r="B35" s="2" t="s">
        <v>103</v>
      </c>
      <c r="C35" s="2">
        <v>23</v>
      </c>
      <c r="D35" s="2" t="s">
        <v>12</v>
      </c>
      <c r="E35" s="2" t="s">
        <v>41</v>
      </c>
      <c r="F35" s="3">
        <v>45588</v>
      </c>
      <c r="G35" s="3">
        <v>45721</v>
      </c>
      <c r="H35" s="2">
        <v>1800</v>
      </c>
      <c r="I35" s="2">
        <v>23</v>
      </c>
      <c r="J35" s="2" t="s">
        <v>18</v>
      </c>
      <c r="K35" s="2" t="s">
        <v>104</v>
      </c>
      <c r="L35" s="5">
        <f>ROUNDDOWN((Table13[[#This Row],[End_Date]]-Table13[[#This Row],[Start_Date]])/30,0)</f>
        <v>4</v>
      </c>
    </row>
    <row r="36" spans="1:12" ht="15.75" customHeight="1" x14ac:dyDescent="0.25">
      <c r="A36" s="2" t="s">
        <v>105</v>
      </c>
      <c r="B36" s="2" t="s">
        <v>106</v>
      </c>
      <c r="C36" s="2">
        <v>27</v>
      </c>
      <c r="D36" s="2" t="s">
        <v>27</v>
      </c>
      <c r="E36" s="2" t="s">
        <v>22</v>
      </c>
      <c r="F36" s="3">
        <v>45312</v>
      </c>
      <c r="G36" s="3">
        <v>45652</v>
      </c>
      <c r="H36" s="2">
        <v>1200</v>
      </c>
      <c r="I36" s="2">
        <v>27</v>
      </c>
      <c r="J36" s="2" t="s">
        <v>18</v>
      </c>
      <c r="K36" s="4"/>
      <c r="L36" s="5">
        <f>ROUNDDOWN((Table13[[#This Row],[End_Date]]-Table13[[#This Row],[Start_Date]])/30,0)</f>
        <v>11</v>
      </c>
    </row>
    <row r="37" spans="1:12" ht="15.75" customHeight="1" x14ac:dyDescent="0.25"/>
    <row r="38" spans="1:12" ht="15.75" customHeight="1" x14ac:dyDescent="0.25"/>
    <row r="39" spans="1:12" ht="15.75" customHeight="1" x14ac:dyDescent="0.25"/>
    <row r="40" spans="1:12" ht="15.75" customHeight="1" x14ac:dyDescent="0.25"/>
    <row r="41" spans="1:12" ht="15.75" customHeight="1" x14ac:dyDescent="0.25"/>
    <row r="42" spans="1:12" ht="15.75" customHeight="1" x14ac:dyDescent="0.25"/>
    <row r="43" spans="1:12" ht="15.75" customHeight="1" x14ac:dyDescent="0.25"/>
    <row r="44" spans="1:12" ht="15.75" customHeight="1" x14ac:dyDescent="0.25"/>
    <row r="45" spans="1:12" ht="15.75" customHeight="1" x14ac:dyDescent="0.25"/>
    <row r="46" spans="1:12" ht="15.75" customHeight="1" x14ac:dyDescent="0.25"/>
    <row r="47" spans="1:12" ht="15.75" customHeight="1" x14ac:dyDescent="0.25"/>
    <row r="48" spans="1: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C4C6B-D74C-486D-8487-8E7FA74F9DBB}">
  <dimension ref="A1:M1000"/>
  <sheetViews>
    <sheetView workbookViewId="0">
      <selection sqref="A1:M36"/>
    </sheetView>
  </sheetViews>
  <sheetFormatPr defaultColWidth="14.42578125" defaultRowHeight="15" customHeight="1" x14ac:dyDescent="0.25"/>
  <cols>
    <col min="1" max="1" width="13.42578125" bestFit="1" customWidth="1"/>
    <col min="2" max="2" width="16.140625" bestFit="1" customWidth="1"/>
    <col min="3" max="3" width="9" bestFit="1" customWidth="1"/>
    <col min="4" max="4" width="12.28515625" bestFit="1" customWidth="1"/>
    <col min="5" max="5" width="22.5703125" bestFit="1" customWidth="1"/>
    <col min="6" max="6" width="14.85546875" bestFit="1" customWidth="1"/>
    <col min="7" max="7" width="14" bestFit="1" customWidth="1"/>
    <col min="8" max="8" width="17.42578125" bestFit="1" customWidth="1"/>
    <col min="9" max="9" width="15.85546875" bestFit="1" customWidth="1"/>
    <col min="10" max="10" width="19.42578125" customWidth="1"/>
    <col min="11" max="11" width="26.7109375" customWidth="1"/>
    <col min="12" max="12" width="32" bestFit="1" customWidth="1"/>
    <col min="13" max="13" width="11.140625" customWidth="1"/>
    <col min="14" max="26" width="8.7109375" customWidth="1"/>
  </cols>
  <sheetData>
    <row r="1" spans="1:13" x14ac:dyDescent="0.25">
      <c r="A1" s="1" t="s">
        <v>107</v>
      </c>
      <c r="B1" s="1" t="s">
        <v>0</v>
      </c>
      <c r="C1" s="1" t="s">
        <v>1</v>
      </c>
      <c r="D1" s="1" t="s">
        <v>2</v>
      </c>
      <c r="E1" s="1" t="s">
        <v>3</v>
      </c>
      <c r="F1" s="1" t="s">
        <v>4</v>
      </c>
      <c r="G1" s="1" t="s">
        <v>5</v>
      </c>
      <c r="H1" s="1" t="s">
        <v>6</v>
      </c>
      <c r="I1" s="1" t="s">
        <v>7</v>
      </c>
      <c r="J1" s="1" t="s">
        <v>8</v>
      </c>
      <c r="K1" s="1" t="s">
        <v>9</v>
      </c>
      <c r="L1" s="1" t="s">
        <v>108</v>
      </c>
      <c r="M1" s="7" t="s">
        <v>109</v>
      </c>
    </row>
    <row r="2" spans="1:13" x14ac:dyDescent="0.25">
      <c r="A2" s="2" t="s">
        <v>10</v>
      </c>
      <c r="B2" s="2" t="s">
        <v>11</v>
      </c>
      <c r="C2" s="2">
        <v>59</v>
      </c>
      <c r="D2" s="2" t="s">
        <v>12</v>
      </c>
      <c r="E2" s="2" t="s">
        <v>13</v>
      </c>
      <c r="F2" s="3">
        <v>45235</v>
      </c>
      <c r="G2" s="3">
        <v>45425</v>
      </c>
      <c r="H2" s="2">
        <v>800</v>
      </c>
      <c r="I2" s="2">
        <v>25</v>
      </c>
      <c r="J2" s="2" t="s">
        <v>14</v>
      </c>
      <c r="K2" s="2" t="s">
        <v>15</v>
      </c>
      <c r="L2" s="5">
        <f>ROUNDDOWN((Table134[[#This Row],[End_Date]]-Table134[[#This Row],[Start_Date]])/30,0)</f>
        <v>6</v>
      </c>
      <c r="M2" s="6" t="str">
        <f>IF(Table134[[#This Row],[Referred_By]]&lt;&gt;"","YES","NO")</f>
        <v>YES</v>
      </c>
    </row>
    <row r="3" spans="1:13" x14ac:dyDescent="0.25">
      <c r="A3" s="2" t="s">
        <v>16</v>
      </c>
      <c r="B3" s="2" t="s">
        <v>17</v>
      </c>
      <c r="C3" s="2">
        <v>27</v>
      </c>
      <c r="D3" s="2" t="s">
        <v>12</v>
      </c>
      <c r="E3" s="2" t="s">
        <v>13</v>
      </c>
      <c r="F3" s="3">
        <v>45714</v>
      </c>
      <c r="G3" s="3">
        <v>45740</v>
      </c>
      <c r="H3" s="2">
        <v>800</v>
      </c>
      <c r="I3" s="2">
        <v>20</v>
      </c>
      <c r="J3" s="2" t="s">
        <v>18</v>
      </c>
      <c r="K3" s="2" t="s">
        <v>19</v>
      </c>
      <c r="L3" s="5">
        <f>ROUNDDOWN((Table134[[#This Row],[End_Date]]-Table134[[#This Row],[Start_Date]])/30,0)</f>
        <v>0</v>
      </c>
      <c r="M3" s="6" t="str">
        <f>IF(Table134[[#This Row],[Referred_By]]&lt;&gt;"","YES","NO")</f>
        <v>YES</v>
      </c>
    </row>
    <row r="4" spans="1:13" x14ac:dyDescent="0.25">
      <c r="A4" s="2" t="s">
        <v>20</v>
      </c>
      <c r="B4" s="2" t="s">
        <v>21</v>
      </c>
      <c r="C4" s="2">
        <v>24</v>
      </c>
      <c r="D4" s="2" t="s">
        <v>12</v>
      </c>
      <c r="E4" s="2" t="s">
        <v>22</v>
      </c>
      <c r="F4" s="3">
        <v>45191</v>
      </c>
      <c r="G4" s="3">
        <v>45371</v>
      </c>
      <c r="H4" s="2">
        <v>1200</v>
      </c>
      <c r="I4" s="2">
        <v>18</v>
      </c>
      <c r="J4" s="2" t="s">
        <v>23</v>
      </c>
      <c r="K4" s="2" t="s">
        <v>24</v>
      </c>
      <c r="L4" s="5">
        <f>ROUNDDOWN((Table134[[#This Row],[End_Date]]-Table134[[#This Row],[Start_Date]])/30,0)</f>
        <v>6</v>
      </c>
      <c r="M4" s="6" t="str">
        <f>IF(Table134[[#This Row],[Referred_By]]&lt;&gt;"","YES","NO")</f>
        <v>YES</v>
      </c>
    </row>
    <row r="5" spans="1:13" x14ac:dyDescent="0.25">
      <c r="A5" s="2" t="s">
        <v>25</v>
      </c>
      <c r="B5" s="2" t="s">
        <v>26</v>
      </c>
      <c r="C5" s="2">
        <v>31</v>
      </c>
      <c r="D5" s="2" t="s">
        <v>27</v>
      </c>
      <c r="E5" s="2" t="s">
        <v>22</v>
      </c>
      <c r="F5" s="3">
        <v>45479</v>
      </c>
      <c r="G5" s="3">
        <v>45587</v>
      </c>
      <c r="H5" s="2">
        <v>1200</v>
      </c>
      <c r="I5" s="2">
        <v>16</v>
      </c>
      <c r="J5" s="2" t="s">
        <v>23</v>
      </c>
      <c r="K5" s="2" t="s">
        <v>28</v>
      </c>
      <c r="L5" s="5">
        <f>ROUNDDOWN((Table134[[#This Row],[End_Date]]-Table134[[#This Row],[Start_Date]])/30,0)</f>
        <v>3</v>
      </c>
      <c r="M5" s="6" t="str">
        <f>IF(Table134[[#This Row],[Referred_By]]&lt;&gt;"","YES","NO")</f>
        <v>YES</v>
      </c>
    </row>
    <row r="6" spans="1:13" x14ac:dyDescent="0.25">
      <c r="A6" s="2" t="s">
        <v>29</v>
      </c>
      <c r="B6" s="2" t="s">
        <v>30</v>
      </c>
      <c r="C6" s="2">
        <v>19</v>
      </c>
      <c r="D6" s="2" t="s">
        <v>12</v>
      </c>
      <c r="E6" s="2" t="s">
        <v>31</v>
      </c>
      <c r="F6" s="3">
        <v>45286</v>
      </c>
      <c r="G6" s="3">
        <v>45501</v>
      </c>
      <c r="H6" s="2">
        <v>2500</v>
      </c>
      <c r="I6" s="2">
        <v>12</v>
      </c>
      <c r="J6" s="2" t="s">
        <v>14</v>
      </c>
      <c r="K6" s="2" t="s">
        <v>32</v>
      </c>
      <c r="L6" s="5">
        <f>ROUNDDOWN((Table134[[#This Row],[End_Date]]-Table134[[#This Row],[Start_Date]])/30,0)</f>
        <v>7</v>
      </c>
      <c r="M6" s="6" t="str">
        <f>IF(Table134[[#This Row],[Referred_By]]&lt;&gt;"","YES","NO")</f>
        <v>YES</v>
      </c>
    </row>
    <row r="7" spans="1:13" x14ac:dyDescent="0.25">
      <c r="A7" s="2" t="s">
        <v>33</v>
      </c>
      <c r="B7" s="2" t="s">
        <v>34</v>
      </c>
      <c r="C7" s="2">
        <v>40</v>
      </c>
      <c r="D7" s="2" t="s">
        <v>12</v>
      </c>
      <c r="E7" s="2" t="s">
        <v>13</v>
      </c>
      <c r="F7" s="3">
        <v>45317</v>
      </c>
      <c r="G7" s="3">
        <v>45392</v>
      </c>
      <c r="H7" s="2">
        <v>800</v>
      </c>
      <c r="I7" s="2">
        <v>14</v>
      </c>
      <c r="J7" s="2" t="s">
        <v>35</v>
      </c>
      <c r="K7" s="2" t="s">
        <v>36</v>
      </c>
      <c r="L7" s="5">
        <f>ROUNDDOWN((Table134[[#This Row],[End_Date]]-Table134[[#This Row],[Start_Date]])/30,0)</f>
        <v>2</v>
      </c>
      <c r="M7" s="6" t="str">
        <f>IF(Table134[[#This Row],[Referred_By]]&lt;&gt;"","YES","NO")</f>
        <v>YES</v>
      </c>
    </row>
    <row r="8" spans="1:13" x14ac:dyDescent="0.25">
      <c r="A8" s="2" t="s">
        <v>43</v>
      </c>
      <c r="B8" s="2" t="s">
        <v>44</v>
      </c>
      <c r="C8" s="2">
        <v>42</v>
      </c>
      <c r="D8" s="2" t="s">
        <v>12</v>
      </c>
      <c r="E8" s="2" t="s">
        <v>13</v>
      </c>
      <c r="F8" s="3">
        <v>45569</v>
      </c>
      <c r="G8" s="3">
        <v>45582</v>
      </c>
      <c r="H8" s="2">
        <v>800</v>
      </c>
      <c r="I8" s="2">
        <v>3</v>
      </c>
      <c r="J8" s="2" t="s">
        <v>42</v>
      </c>
      <c r="K8" s="2" t="s">
        <v>45</v>
      </c>
      <c r="L8" s="5">
        <f>ROUNDDOWN((Table134[[#This Row],[End_Date]]-Table134[[#This Row],[Start_Date]])/30,0)</f>
        <v>0</v>
      </c>
      <c r="M8" s="6" t="str">
        <f>IF(Table134[[#This Row],[Referred_By]]&lt;&gt;"","YES","NO")</f>
        <v>YES</v>
      </c>
    </row>
    <row r="9" spans="1:13" x14ac:dyDescent="0.25">
      <c r="A9" s="2" t="s">
        <v>46</v>
      </c>
      <c r="B9" s="2" t="s">
        <v>47</v>
      </c>
      <c r="C9" s="2">
        <v>37</v>
      </c>
      <c r="D9" s="2" t="s">
        <v>12</v>
      </c>
      <c r="E9" s="2" t="s">
        <v>22</v>
      </c>
      <c r="F9" s="3">
        <v>45202</v>
      </c>
      <c r="G9" s="3">
        <v>45280</v>
      </c>
      <c r="H9" s="2">
        <v>1200</v>
      </c>
      <c r="I9" s="2">
        <v>29</v>
      </c>
      <c r="J9" s="2" t="s">
        <v>35</v>
      </c>
      <c r="K9" s="2" t="s">
        <v>48</v>
      </c>
      <c r="L9" s="5">
        <f>ROUNDDOWN((Table134[[#This Row],[End_Date]]-Table134[[#This Row],[Start_Date]])/30,0)</f>
        <v>2</v>
      </c>
      <c r="M9" s="6" t="str">
        <f>IF(Table134[[#This Row],[Referred_By]]&lt;&gt;"","YES","NO")</f>
        <v>YES</v>
      </c>
    </row>
    <row r="10" spans="1:13" x14ac:dyDescent="0.25">
      <c r="A10" s="2" t="s">
        <v>49</v>
      </c>
      <c r="B10" s="2" t="s">
        <v>50</v>
      </c>
      <c r="C10" s="2">
        <v>48</v>
      </c>
      <c r="D10" s="2" t="s">
        <v>27</v>
      </c>
      <c r="E10" s="2" t="s">
        <v>22</v>
      </c>
      <c r="F10" s="3">
        <v>45297</v>
      </c>
      <c r="G10" s="3">
        <v>45459</v>
      </c>
      <c r="H10" s="2">
        <v>1200</v>
      </c>
      <c r="I10" s="2">
        <v>13</v>
      </c>
      <c r="J10" s="2" t="s">
        <v>14</v>
      </c>
      <c r="K10" s="2" t="s">
        <v>51</v>
      </c>
      <c r="L10" s="5">
        <f>ROUNDDOWN((Table134[[#This Row],[End_Date]]-Table134[[#This Row],[Start_Date]])/30,0)</f>
        <v>5</v>
      </c>
      <c r="M10" s="6" t="str">
        <f>IF(Table134[[#This Row],[Referred_By]]&lt;&gt;"","YES","NO")</f>
        <v>YES</v>
      </c>
    </row>
    <row r="11" spans="1:13" x14ac:dyDescent="0.25">
      <c r="A11" s="2" t="s">
        <v>52</v>
      </c>
      <c r="B11" s="2" t="s">
        <v>53</v>
      </c>
      <c r="C11" s="2">
        <v>36</v>
      </c>
      <c r="D11" s="2" t="s">
        <v>12</v>
      </c>
      <c r="E11" s="2" t="s">
        <v>22</v>
      </c>
      <c r="F11" s="3">
        <v>45154</v>
      </c>
      <c r="G11" s="3">
        <v>45568</v>
      </c>
      <c r="H11" s="2">
        <v>1200</v>
      </c>
      <c r="I11" s="2">
        <v>19</v>
      </c>
      <c r="J11" s="2" t="s">
        <v>42</v>
      </c>
      <c r="K11" s="2" t="s">
        <v>54</v>
      </c>
      <c r="L11" s="5">
        <f>ROUNDDOWN((Table134[[#This Row],[End_Date]]-Table134[[#This Row],[Start_Date]])/30,0)</f>
        <v>13</v>
      </c>
      <c r="M11" s="6" t="str">
        <f>IF(Table134[[#This Row],[Referred_By]]&lt;&gt;"","YES","NO")</f>
        <v>YES</v>
      </c>
    </row>
    <row r="12" spans="1:13" x14ac:dyDescent="0.25">
      <c r="A12" s="2" t="s">
        <v>70</v>
      </c>
      <c r="B12" s="2" t="s">
        <v>71</v>
      </c>
      <c r="C12" s="2">
        <v>28</v>
      </c>
      <c r="D12" s="2" t="s">
        <v>12</v>
      </c>
      <c r="E12" s="2" t="s">
        <v>31</v>
      </c>
      <c r="F12" s="3">
        <v>45417</v>
      </c>
      <c r="G12" s="3">
        <v>45608</v>
      </c>
      <c r="H12" s="2">
        <v>2500</v>
      </c>
      <c r="I12" s="2">
        <v>21</v>
      </c>
      <c r="J12" s="2" t="s">
        <v>35</v>
      </c>
      <c r="K12" s="2" t="s">
        <v>72</v>
      </c>
      <c r="L12" s="5">
        <f>ROUNDDOWN((Table134[[#This Row],[End_Date]]-Table134[[#This Row],[Start_Date]])/30,0)</f>
        <v>6</v>
      </c>
      <c r="M12" s="6" t="str">
        <f>IF(Table134[[#This Row],[Referred_By]]&lt;&gt;"","YES","NO")</f>
        <v>YES</v>
      </c>
    </row>
    <row r="13" spans="1:13" x14ac:dyDescent="0.25">
      <c r="A13" s="2" t="s">
        <v>81</v>
      </c>
      <c r="B13" s="2" t="s">
        <v>82</v>
      </c>
      <c r="C13" s="2">
        <v>53</v>
      </c>
      <c r="D13" s="2" t="s">
        <v>12</v>
      </c>
      <c r="E13" s="2" t="s">
        <v>41</v>
      </c>
      <c r="F13" s="3">
        <v>45286</v>
      </c>
      <c r="G13" s="3">
        <v>45372</v>
      </c>
      <c r="H13" s="2">
        <v>1800</v>
      </c>
      <c r="I13" s="2">
        <v>17</v>
      </c>
      <c r="J13" s="2" t="s">
        <v>35</v>
      </c>
      <c r="K13" s="2" t="s">
        <v>83</v>
      </c>
      <c r="L13" s="5">
        <f>ROUNDDOWN((Table134[[#This Row],[End_Date]]-Table134[[#This Row],[Start_Date]])/30,0)</f>
        <v>2</v>
      </c>
      <c r="M13" s="6" t="str">
        <f>IF(Table134[[#This Row],[Referred_By]]&lt;&gt;"","YES","NO")</f>
        <v>YES</v>
      </c>
    </row>
    <row r="14" spans="1:13" x14ac:dyDescent="0.25">
      <c r="A14" s="2" t="s">
        <v>92</v>
      </c>
      <c r="B14" s="2" t="s">
        <v>93</v>
      </c>
      <c r="C14" s="2">
        <v>31</v>
      </c>
      <c r="D14" s="2" t="s">
        <v>27</v>
      </c>
      <c r="E14" s="2" t="s">
        <v>31</v>
      </c>
      <c r="F14" s="3">
        <v>45667</v>
      </c>
      <c r="G14" s="3">
        <v>45745</v>
      </c>
      <c r="H14" s="2">
        <v>2500</v>
      </c>
      <c r="I14" s="2">
        <v>23</v>
      </c>
      <c r="J14" s="2" t="s">
        <v>42</v>
      </c>
      <c r="K14" s="2" t="s">
        <v>94</v>
      </c>
      <c r="L14" s="5">
        <f>ROUNDDOWN((Table134[[#This Row],[End_Date]]-Table134[[#This Row],[Start_Date]])/30,0)</f>
        <v>2</v>
      </c>
      <c r="M14" s="6" t="str">
        <f>IF(Table134[[#This Row],[Referred_By]]&lt;&gt;"","YES","NO")</f>
        <v>YES</v>
      </c>
    </row>
    <row r="15" spans="1:13" x14ac:dyDescent="0.25">
      <c r="A15" s="2" t="s">
        <v>95</v>
      </c>
      <c r="B15" s="2" t="s">
        <v>96</v>
      </c>
      <c r="C15" s="2">
        <v>52</v>
      </c>
      <c r="D15" s="2" t="s">
        <v>27</v>
      </c>
      <c r="E15" s="2" t="s">
        <v>13</v>
      </c>
      <c r="F15" s="3">
        <v>45088</v>
      </c>
      <c r="G15" s="3">
        <v>45656</v>
      </c>
      <c r="H15" s="2">
        <v>800</v>
      </c>
      <c r="I15" s="2">
        <v>9</v>
      </c>
      <c r="J15" s="2" t="s">
        <v>67</v>
      </c>
      <c r="K15" s="2" t="s">
        <v>97</v>
      </c>
      <c r="L15" s="5">
        <f>ROUNDDOWN((Table134[[#This Row],[End_Date]]-Table134[[#This Row],[Start_Date]])/30,0)</f>
        <v>18</v>
      </c>
      <c r="M15" s="6" t="str">
        <f>IF(Table134[[#This Row],[Referred_By]]&lt;&gt;"","YES","NO")</f>
        <v>YES</v>
      </c>
    </row>
    <row r="16" spans="1:13" x14ac:dyDescent="0.25">
      <c r="A16" s="2" t="s">
        <v>102</v>
      </c>
      <c r="B16" s="2" t="s">
        <v>103</v>
      </c>
      <c r="C16" s="2">
        <v>23</v>
      </c>
      <c r="D16" s="2" t="s">
        <v>12</v>
      </c>
      <c r="E16" s="2" t="s">
        <v>41</v>
      </c>
      <c r="F16" s="3">
        <v>45588</v>
      </c>
      <c r="G16" s="3">
        <v>45721</v>
      </c>
      <c r="H16" s="2">
        <v>1800</v>
      </c>
      <c r="I16" s="2">
        <v>23</v>
      </c>
      <c r="J16" s="2" t="s">
        <v>18</v>
      </c>
      <c r="K16" s="2" t="s">
        <v>104</v>
      </c>
      <c r="L16" s="5">
        <f>ROUNDDOWN((Table134[[#This Row],[End_Date]]-Table134[[#This Row],[Start_Date]])/30,0)</f>
        <v>4</v>
      </c>
      <c r="M16" s="6" t="str">
        <f>IF(Table134[[#This Row],[Referred_By]]&lt;&gt;"","YES","NO")</f>
        <v>YES</v>
      </c>
    </row>
    <row r="17" spans="1:13" x14ac:dyDescent="0.25">
      <c r="A17" s="2" t="s">
        <v>37</v>
      </c>
      <c r="B17" s="2" t="s">
        <v>38</v>
      </c>
      <c r="C17" s="2">
        <v>41</v>
      </c>
      <c r="D17" s="2" t="s">
        <v>27</v>
      </c>
      <c r="E17" s="2" t="s">
        <v>13</v>
      </c>
      <c r="F17" s="3">
        <v>45588</v>
      </c>
      <c r="G17" s="3">
        <v>45677</v>
      </c>
      <c r="H17" s="2">
        <v>800</v>
      </c>
      <c r="I17" s="2">
        <v>25</v>
      </c>
      <c r="J17" s="2" t="s">
        <v>18</v>
      </c>
      <c r="K17" s="4"/>
      <c r="L17" s="5">
        <f>ROUNDDOWN((Table134[[#This Row],[End_Date]]-Table134[[#This Row],[Start_Date]])/30,0)</f>
        <v>2</v>
      </c>
      <c r="M17" s="6" t="str">
        <f>IF(Table134[[#This Row],[Referred_By]]&lt;&gt;"","YES","NO")</f>
        <v>NO</v>
      </c>
    </row>
    <row r="18" spans="1:13" x14ac:dyDescent="0.25">
      <c r="A18" s="2" t="s">
        <v>39</v>
      </c>
      <c r="B18" s="2" t="s">
        <v>40</v>
      </c>
      <c r="C18" s="2">
        <v>43</v>
      </c>
      <c r="D18" s="2" t="s">
        <v>12</v>
      </c>
      <c r="E18" s="2" t="s">
        <v>41</v>
      </c>
      <c r="F18" s="3">
        <v>45450</v>
      </c>
      <c r="G18" s="3">
        <v>45563</v>
      </c>
      <c r="H18" s="2">
        <v>1800</v>
      </c>
      <c r="I18" s="2">
        <v>28</v>
      </c>
      <c r="J18" s="2" t="s">
        <v>42</v>
      </c>
      <c r="K18" s="4"/>
      <c r="L18" s="5">
        <f>ROUNDDOWN((Table134[[#This Row],[End_Date]]-Table134[[#This Row],[Start_Date]])/30,0)</f>
        <v>3</v>
      </c>
      <c r="M18" s="6" t="str">
        <f>IF(Table134[[#This Row],[Referred_By]]&lt;&gt;"","YES","NO")</f>
        <v>NO</v>
      </c>
    </row>
    <row r="19" spans="1:13" x14ac:dyDescent="0.25">
      <c r="A19" s="2" t="s">
        <v>55</v>
      </c>
      <c r="B19" s="2" t="s">
        <v>56</v>
      </c>
      <c r="C19" s="2">
        <v>48</v>
      </c>
      <c r="D19" s="2" t="s">
        <v>27</v>
      </c>
      <c r="E19" s="2" t="s">
        <v>41</v>
      </c>
      <c r="F19" s="3">
        <v>45556</v>
      </c>
      <c r="G19" s="3">
        <v>45641</v>
      </c>
      <c r="H19" s="2">
        <v>1800</v>
      </c>
      <c r="I19" s="2">
        <v>22</v>
      </c>
      <c r="J19" s="2" t="s">
        <v>42</v>
      </c>
      <c r="K19" s="4"/>
      <c r="L19" s="5">
        <f>ROUNDDOWN((Table134[[#This Row],[End_Date]]-Table134[[#This Row],[Start_Date]])/30,0)</f>
        <v>2</v>
      </c>
      <c r="M19" s="6" t="str">
        <f>IF(Table134[[#This Row],[Referred_By]]&lt;&gt;"","YES","NO")</f>
        <v>NO</v>
      </c>
    </row>
    <row r="20" spans="1:13" x14ac:dyDescent="0.25">
      <c r="A20" s="2" t="s">
        <v>57</v>
      </c>
      <c r="B20" s="2" t="s">
        <v>58</v>
      </c>
      <c r="C20" s="2">
        <v>39</v>
      </c>
      <c r="D20" s="2" t="s">
        <v>12</v>
      </c>
      <c r="E20" s="2" t="s">
        <v>22</v>
      </c>
      <c r="F20" s="3">
        <v>45065</v>
      </c>
      <c r="G20" s="3">
        <v>45242</v>
      </c>
      <c r="H20" s="2">
        <v>1200</v>
      </c>
      <c r="I20" s="2">
        <v>28</v>
      </c>
      <c r="J20" s="2" t="s">
        <v>35</v>
      </c>
      <c r="K20" s="4"/>
      <c r="L20" s="5">
        <f>ROUNDDOWN((Table134[[#This Row],[End_Date]]-Table134[[#This Row],[Start_Date]])/30,0)</f>
        <v>5</v>
      </c>
      <c r="M20" s="6" t="str">
        <f>IF(Table134[[#This Row],[Referred_By]]&lt;&gt;"","YES","NO")</f>
        <v>NO</v>
      </c>
    </row>
    <row r="21" spans="1:13" ht="15.75" customHeight="1" x14ac:dyDescent="0.25">
      <c r="A21" s="2" t="s">
        <v>59</v>
      </c>
      <c r="B21" s="2" t="s">
        <v>60</v>
      </c>
      <c r="C21" s="2">
        <v>44</v>
      </c>
      <c r="D21" s="2" t="s">
        <v>27</v>
      </c>
      <c r="E21" s="2" t="s">
        <v>13</v>
      </c>
      <c r="F21" s="3">
        <v>45333</v>
      </c>
      <c r="G21" s="3">
        <v>45540</v>
      </c>
      <c r="H21" s="2">
        <v>800</v>
      </c>
      <c r="I21" s="2">
        <v>8</v>
      </c>
      <c r="J21" s="2" t="s">
        <v>23</v>
      </c>
      <c r="K21" s="4"/>
      <c r="L21" s="5">
        <f>ROUNDDOWN((Table134[[#This Row],[End_Date]]-Table134[[#This Row],[Start_Date]])/30,0)</f>
        <v>6</v>
      </c>
      <c r="M21" s="6" t="str">
        <f>IF(Table134[[#This Row],[Referred_By]]&lt;&gt;"","YES","NO")</f>
        <v>NO</v>
      </c>
    </row>
    <row r="22" spans="1:13" ht="15.75" customHeight="1" x14ac:dyDescent="0.25">
      <c r="A22" s="2" t="s">
        <v>61</v>
      </c>
      <c r="B22" s="2" t="s">
        <v>62</v>
      </c>
      <c r="C22" s="2">
        <v>39</v>
      </c>
      <c r="D22" s="2" t="s">
        <v>12</v>
      </c>
      <c r="E22" s="2" t="s">
        <v>31</v>
      </c>
      <c r="F22" s="3">
        <v>45702</v>
      </c>
      <c r="G22" s="3">
        <v>45732</v>
      </c>
      <c r="H22" s="2">
        <v>2500</v>
      </c>
      <c r="I22" s="2">
        <v>14</v>
      </c>
      <c r="J22" s="2" t="s">
        <v>42</v>
      </c>
      <c r="K22" s="4"/>
      <c r="L22" s="5">
        <f>ROUNDDOWN((Table134[[#This Row],[End_Date]]-Table134[[#This Row],[Start_Date]])/30,0)</f>
        <v>1</v>
      </c>
      <c r="M22" s="6" t="str">
        <f>IF(Table134[[#This Row],[Referred_By]]&lt;&gt;"","YES","NO")</f>
        <v>NO</v>
      </c>
    </row>
    <row r="23" spans="1:13" ht="15.75" customHeight="1" x14ac:dyDescent="0.25">
      <c r="A23" s="2" t="s">
        <v>63</v>
      </c>
      <c r="B23" s="2" t="s">
        <v>64</v>
      </c>
      <c r="C23" s="2">
        <v>35</v>
      </c>
      <c r="D23" s="2" t="s">
        <v>12</v>
      </c>
      <c r="E23" s="2" t="s">
        <v>22</v>
      </c>
      <c r="F23" s="3">
        <v>45329</v>
      </c>
      <c r="G23" s="3">
        <v>45685</v>
      </c>
      <c r="H23" s="2">
        <v>1200</v>
      </c>
      <c r="I23" s="2">
        <v>25</v>
      </c>
      <c r="J23" s="2" t="s">
        <v>23</v>
      </c>
      <c r="K23" s="4"/>
      <c r="L23" s="5">
        <f>ROUNDDOWN((Table134[[#This Row],[End_Date]]-Table134[[#This Row],[Start_Date]])/30,0)</f>
        <v>11</v>
      </c>
      <c r="M23" s="6" t="str">
        <f>IF(Table134[[#This Row],[Referred_By]]&lt;&gt;"","YES","NO")</f>
        <v>NO</v>
      </c>
    </row>
    <row r="24" spans="1:13" ht="15.75" customHeight="1" x14ac:dyDescent="0.25">
      <c r="A24" s="2" t="s">
        <v>65</v>
      </c>
      <c r="B24" s="2" t="s">
        <v>66</v>
      </c>
      <c r="C24" s="2">
        <v>56</v>
      </c>
      <c r="D24" s="2" t="s">
        <v>27</v>
      </c>
      <c r="E24" s="2" t="s">
        <v>31</v>
      </c>
      <c r="F24" s="3">
        <v>45213</v>
      </c>
      <c r="G24" s="3">
        <v>45649</v>
      </c>
      <c r="H24" s="2">
        <v>2500</v>
      </c>
      <c r="I24" s="2">
        <v>13</v>
      </c>
      <c r="J24" s="2" t="s">
        <v>67</v>
      </c>
      <c r="K24" s="4"/>
      <c r="L24" s="5">
        <f>ROUNDDOWN((Table134[[#This Row],[End_Date]]-Table134[[#This Row],[Start_Date]])/30,0)</f>
        <v>14</v>
      </c>
      <c r="M24" s="6" t="str">
        <f>IF(Table134[[#This Row],[Referred_By]]&lt;&gt;"","YES","NO")</f>
        <v>NO</v>
      </c>
    </row>
    <row r="25" spans="1:13" ht="15.75" customHeight="1" x14ac:dyDescent="0.25">
      <c r="A25" s="2" t="s">
        <v>68</v>
      </c>
      <c r="B25" s="2" t="s">
        <v>69</v>
      </c>
      <c r="C25" s="2">
        <v>27</v>
      </c>
      <c r="D25" s="2" t="s">
        <v>27</v>
      </c>
      <c r="E25" s="2" t="s">
        <v>13</v>
      </c>
      <c r="F25" s="3">
        <v>45354</v>
      </c>
      <c r="G25" s="3">
        <v>45664</v>
      </c>
      <c r="H25" s="2">
        <v>800</v>
      </c>
      <c r="I25" s="2">
        <v>26</v>
      </c>
      <c r="J25" s="2" t="s">
        <v>35</v>
      </c>
      <c r="K25" s="4"/>
      <c r="L25" s="5">
        <f>ROUNDDOWN((Table134[[#This Row],[End_Date]]-Table134[[#This Row],[Start_Date]])/30,0)</f>
        <v>10</v>
      </c>
      <c r="M25" s="6" t="str">
        <f>IF(Table134[[#This Row],[Referred_By]]&lt;&gt;"","YES","NO")</f>
        <v>NO</v>
      </c>
    </row>
    <row r="26" spans="1:13" ht="15.75" customHeight="1" x14ac:dyDescent="0.25">
      <c r="A26" s="2" t="s">
        <v>73</v>
      </c>
      <c r="B26" s="2" t="s">
        <v>74</v>
      </c>
      <c r="C26" s="2">
        <v>57</v>
      </c>
      <c r="D26" s="2" t="s">
        <v>27</v>
      </c>
      <c r="E26" s="2" t="s">
        <v>41</v>
      </c>
      <c r="F26" s="3">
        <v>45146</v>
      </c>
      <c r="G26" s="3">
        <v>45674</v>
      </c>
      <c r="H26" s="2">
        <v>1800</v>
      </c>
      <c r="I26" s="2">
        <v>19</v>
      </c>
      <c r="J26" s="2" t="s">
        <v>35</v>
      </c>
      <c r="K26" s="4"/>
      <c r="L26" s="5">
        <f>ROUNDDOWN((Table134[[#This Row],[End_Date]]-Table134[[#This Row],[Start_Date]])/30,0)</f>
        <v>17</v>
      </c>
      <c r="M26" s="6" t="str">
        <f>IF(Table134[[#This Row],[Referred_By]]&lt;&gt;"","YES","NO")</f>
        <v>NO</v>
      </c>
    </row>
    <row r="27" spans="1:13" ht="15.75" customHeight="1" x14ac:dyDescent="0.25">
      <c r="A27" s="2" t="s">
        <v>75</v>
      </c>
      <c r="B27" s="2" t="s">
        <v>76</v>
      </c>
      <c r="C27" s="2">
        <v>26</v>
      </c>
      <c r="D27" s="2" t="s">
        <v>27</v>
      </c>
      <c r="E27" s="2" t="s">
        <v>41</v>
      </c>
      <c r="F27" s="3">
        <v>45320</v>
      </c>
      <c r="G27" s="3">
        <v>45616</v>
      </c>
      <c r="H27" s="2">
        <v>1800</v>
      </c>
      <c r="I27" s="2">
        <v>5</v>
      </c>
      <c r="J27" s="2" t="s">
        <v>14</v>
      </c>
      <c r="K27" s="4"/>
      <c r="L27" s="5">
        <f>ROUNDDOWN((Table134[[#This Row],[End_Date]]-Table134[[#This Row],[Start_Date]])/30,0)</f>
        <v>9</v>
      </c>
      <c r="M27" s="6" t="str">
        <f>IF(Table134[[#This Row],[Referred_By]]&lt;&gt;"","YES","NO")</f>
        <v>NO</v>
      </c>
    </row>
    <row r="28" spans="1:13" ht="15.75" customHeight="1" x14ac:dyDescent="0.25">
      <c r="A28" s="2" t="s">
        <v>77</v>
      </c>
      <c r="B28" s="2" t="s">
        <v>78</v>
      </c>
      <c r="C28" s="2">
        <v>48</v>
      </c>
      <c r="D28" s="2" t="s">
        <v>12</v>
      </c>
      <c r="E28" s="2" t="s">
        <v>41</v>
      </c>
      <c r="F28" s="3">
        <v>45451</v>
      </c>
      <c r="G28" s="3">
        <v>45455</v>
      </c>
      <c r="H28" s="2">
        <v>1800</v>
      </c>
      <c r="I28" s="2">
        <v>18</v>
      </c>
      <c r="J28" s="2" t="s">
        <v>67</v>
      </c>
      <c r="K28" s="4"/>
      <c r="L28" s="5">
        <f>ROUNDDOWN((Table134[[#This Row],[End_Date]]-Table134[[#This Row],[Start_Date]])/30,0)</f>
        <v>0</v>
      </c>
      <c r="M28" s="6" t="str">
        <f>IF(Table134[[#This Row],[Referred_By]]&lt;&gt;"","YES","NO")</f>
        <v>NO</v>
      </c>
    </row>
    <row r="29" spans="1:13" ht="15.75" customHeight="1" x14ac:dyDescent="0.25">
      <c r="A29" s="2" t="s">
        <v>79</v>
      </c>
      <c r="B29" s="2" t="s">
        <v>80</v>
      </c>
      <c r="C29" s="2">
        <v>25</v>
      </c>
      <c r="D29" s="2" t="s">
        <v>27</v>
      </c>
      <c r="E29" s="2" t="s">
        <v>22</v>
      </c>
      <c r="F29" s="3">
        <v>45439</v>
      </c>
      <c r="G29" s="3">
        <v>45730</v>
      </c>
      <c r="H29" s="2">
        <v>1200</v>
      </c>
      <c r="I29" s="2">
        <v>6</v>
      </c>
      <c r="J29" s="2" t="s">
        <v>14</v>
      </c>
      <c r="K29" s="4"/>
      <c r="L29" s="5">
        <f>ROUNDDOWN((Table134[[#This Row],[End_Date]]-Table134[[#This Row],[Start_Date]])/30,0)</f>
        <v>9</v>
      </c>
      <c r="M29" s="6" t="str">
        <f>IF(Table134[[#This Row],[Referred_By]]&lt;&gt;"","YES","NO")</f>
        <v>NO</v>
      </c>
    </row>
    <row r="30" spans="1:13" ht="15.75" customHeight="1" x14ac:dyDescent="0.25">
      <c r="A30" s="2" t="s">
        <v>84</v>
      </c>
      <c r="B30" s="2" t="s">
        <v>85</v>
      </c>
      <c r="C30" s="2">
        <v>42</v>
      </c>
      <c r="D30" s="2" t="s">
        <v>27</v>
      </c>
      <c r="E30" s="2" t="s">
        <v>22</v>
      </c>
      <c r="F30" s="3">
        <v>45702</v>
      </c>
      <c r="G30" s="3">
        <v>45727</v>
      </c>
      <c r="H30" s="2">
        <v>1200</v>
      </c>
      <c r="I30" s="2">
        <v>3</v>
      </c>
      <c r="J30" s="2" t="s">
        <v>67</v>
      </c>
      <c r="K30" s="4"/>
      <c r="L30" s="5">
        <f>ROUNDDOWN((Table134[[#This Row],[End_Date]]-Table134[[#This Row],[Start_Date]])/30,0)</f>
        <v>0</v>
      </c>
      <c r="M30" s="6" t="str">
        <f>IF(Table134[[#This Row],[Referred_By]]&lt;&gt;"","YES","NO")</f>
        <v>NO</v>
      </c>
    </row>
    <row r="31" spans="1:13" ht="15.75" customHeight="1" x14ac:dyDescent="0.25">
      <c r="A31" s="2" t="s">
        <v>86</v>
      </c>
      <c r="B31" s="2" t="s">
        <v>87</v>
      </c>
      <c r="C31" s="2">
        <v>24</v>
      </c>
      <c r="D31" s="2" t="s">
        <v>12</v>
      </c>
      <c r="E31" s="2" t="s">
        <v>31</v>
      </c>
      <c r="F31" s="3">
        <v>45698</v>
      </c>
      <c r="G31" s="3">
        <v>45726</v>
      </c>
      <c r="H31" s="2">
        <v>2500</v>
      </c>
      <c r="I31" s="2">
        <v>28</v>
      </c>
      <c r="J31" s="2" t="s">
        <v>35</v>
      </c>
      <c r="K31" s="4"/>
      <c r="L31" s="5">
        <f>ROUNDDOWN((Table134[[#This Row],[End_Date]]-Table134[[#This Row],[Start_Date]])/30,0)</f>
        <v>0</v>
      </c>
      <c r="M31" s="6" t="str">
        <f>IF(Table134[[#This Row],[Referred_By]]&lt;&gt;"","YES","NO")</f>
        <v>NO</v>
      </c>
    </row>
    <row r="32" spans="1:13" ht="15.75" customHeight="1" x14ac:dyDescent="0.25">
      <c r="A32" s="2" t="s">
        <v>88</v>
      </c>
      <c r="B32" s="2" t="s">
        <v>89</v>
      </c>
      <c r="C32" s="2">
        <v>53</v>
      </c>
      <c r="D32" s="2" t="s">
        <v>12</v>
      </c>
      <c r="E32" s="2" t="s">
        <v>22</v>
      </c>
      <c r="F32" s="3">
        <v>45614</v>
      </c>
      <c r="G32" s="3">
        <v>45645</v>
      </c>
      <c r="H32" s="2">
        <v>1200</v>
      </c>
      <c r="I32" s="2">
        <v>23</v>
      </c>
      <c r="J32" s="2" t="s">
        <v>18</v>
      </c>
      <c r="K32" s="4"/>
      <c r="L32" s="5">
        <f>ROUNDDOWN((Table134[[#This Row],[End_Date]]-Table134[[#This Row],[Start_Date]])/30,0)</f>
        <v>1</v>
      </c>
      <c r="M32" s="6" t="str">
        <f>IF(Table134[[#This Row],[Referred_By]]&lt;&gt;"","YES","NO")</f>
        <v>NO</v>
      </c>
    </row>
    <row r="33" spans="1:13" ht="15.75" customHeight="1" x14ac:dyDescent="0.25">
      <c r="A33" s="2" t="s">
        <v>90</v>
      </c>
      <c r="B33" s="2" t="s">
        <v>91</v>
      </c>
      <c r="C33" s="2">
        <v>29</v>
      </c>
      <c r="D33" s="2" t="s">
        <v>27</v>
      </c>
      <c r="E33" s="2" t="s">
        <v>31</v>
      </c>
      <c r="F33" s="3">
        <v>45401</v>
      </c>
      <c r="G33" s="3">
        <v>45408</v>
      </c>
      <c r="H33" s="2">
        <v>2500</v>
      </c>
      <c r="I33" s="2">
        <v>8</v>
      </c>
      <c r="J33" s="2" t="s">
        <v>23</v>
      </c>
      <c r="K33" s="4"/>
      <c r="L33" s="5">
        <f>ROUNDDOWN((Table134[[#This Row],[End_Date]]-Table134[[#This Row],[Start_Date]])/30,0)</f>
        <v>0</v>
      </c>
      <c r="M33" s="6" t="str">
        <f>IF(Table134[[#This Row],[Referred_By]]&lt;&gt;"","YES","NO")</f>
        <v>NO</v>
      </c>
    </row>
    <row r="34" spans="1:13" ht="15.75" customHeight="1" x14ac:dyDescent="0.25">
      <c r="A34" s="2" t="s">
        <v>98</v>
      </c>
      <c r="B34" s="2" t="s">
        <v>99</v>
      </c>
      <c r="C34" s="2">
        <v>20</v>
      </c>
      <c r="D34" s="2" t="s">
        <v>12</v>
      </c>
      <c r="E34" s="2" t="s">
        <v>22</v>
      </c>
      <c r="F34" s="3">
        <v>45391</v>
      </c>
      <c r="G34" s="3">
        <v>45604</v>
      </c>
      <c r="H34" s="2">
        <v>1200</v>
      </c>
      <c r="I34" s="2">
        <v>2</v>
      </c>
      <c r="J34" s="2" t="s">
        <v>35</v>
      </c>
      <c r="K34" s="4"/>
      <c r="L34" s="5">
        <f>ROUNDDOWN((Table134[[#This Row],[End_Date]]-Table134[[#This Row],[Start_Date]])/30,0)</f>
        <v>7</v>
      </c>
      <c r="M34" s="6" t="str">
        <f>IF(Table134[[#This Row],[Referred_By]]&lt;&gt;"","YES","NO")</f>
        <v>NO</v>
      </c>
    </row>
    <row r="35" spans="1:13" ht="15.75" customHeight="1" x14ac:dyDescent="0.25">
      <c r="A35" s="2" t="s">
        <v>100</v>
      </c>
      <c r="B35" s="2" t="s">
        <v>101</v>
      </c>
      <c r="C35" s="2">
        <v>22</v>
      </c>
      <c r="D35" s="2" t="s">
        <v>12</v>
      </c>
      <c r="E35" s="2" t="s">
        <v>13</v>
      </c>
      <c r="F35" s="3">
        <v>45699</v>
      </c>
      <c r="G35" s="3">
        <v>45740</v>
      </c>
      <c r="H35" s="2">
        <v>800</v>
      </c>
      <c r="I35" s="2">
        <v>30</v>
      </c>
      <c r="J35" s="2" t="s">
        <v>35</v>
      </c>
      <c r="K35" s="4"/>
      <c r="L35" s="5">
        <f>ROUNDDOWN((Table134[[#This Row],[End_Date]]-Table134[[#This Row],[Start_Date]])/30,0)</f>
        <v>1</v>
      </c>
      <c r="M35" s="6" t="str">
        <f>IF(Table134[[#This Row],[Referred_By]]&lt;&gt;"","YES","NO")</f>
        <v>NO</v>
      </c>
    </row>
    <row r="36" spans="1:13" ht="15.75" customHeight="1" x14ac:dyDescent="0.25">
      <c r="A36" s="2" t="s">
        <v>105</v>
      </c>
      <c r="B36" s="2" t="s">
        <v>106</v>
      </c>
      <c r="C36" s="2">
        <v>27</v>
      </c>
      <c r="D36" s="2" t="s">
        <v>27</v>
      </c>
      <c r="E36" s="2" t="s">
        <v>22</v>
      </c>
      <c r="F36" s="3">
        <v>45312</v>
      </c>
      <c r="G36" s="3">
        <v>45652</v>
      </c>
      <c r="H36" s="2">
        <v>1200</v>
      </c>
      <c r="I36" s="2">
        <v>27</v>
      </c>
      <c r="J36" s="2" t="s">
        <v>18</v>
      </c>
      <c r="K36" s="4"/>
      <c r="L36" s="5">
        <f>ROUNDDOWN((Table134[[#This Row],[End_Date]]-Table134[[#This Row],[Start_Date]])/30,0)</f>
        <v>11</v>
      </c>
      <c r="M36" s="6" t="str">
        <f>IF(Table134[[#This Row],[Referred_By]]&lt;&gt;"","YES","NO")</f>
        <v>NO</v>
      </c>
    </row>
    <row r="37" spans="1:13" ht="15.75" customHeight="1" x14ac:dyDescent="0.25"/>
    <row r="38" spans="1:13" ht="15.75" customHeight="1" x14ac:dyDescent="0.25"/>
    <row r="39" spans="1:13" ht="15.75" customHeight="1" x14ac:dyDescent="0.25"/>
    <row r="40" spans="1:13" ht="15.75" customHeight="1" x14ac:dyDescent="0.25"/>
    <row r="41" spans="1:13" ht="15.75" customHeight="1" x14ac:dyDescent="0.25"/>
    <row r="42" spans="1:13" ht="15.75" customHeight="1" x14ac:dyDescent="0.25"/>
    <row r="43" spans="1:13" ht="15.75" customHeight="1" x14ac:dyDescent="0.25"/>
    <row r="44" spans="1:13" ht="15.75" customHeight="1" x14ac:dyDescent="0.25"/>
    <row r="45" spans="1:13" ht="15.75" customHeight="1" x14ac:dyDescent="0.25"/>
    <row r="46" spans="1:13" ht="15.75" customHeight="1" x14ac:dyDescent="0.25"/>
    <row r="47" spans="1:13" ht="15.75" customHeight="1" x14ac:dyDescent="0.25"/>
    <row r="48" spans="1: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7804C-E07C-4877-A693-F512CC3448CB}">
  <dimension ref="A1:B4"/>
  <sheetViews>
    <sheetView workbookViewId="0">
      <selection activeCell="J29" sqref="J29:J30"/>
    </sheetView>
  </sheetViews>
  <sheetFormatPr defaultRowHeight="15" x14ac:dyDescent="0.25"/>
  <cols>
    <col min="1" max="1" width="13.140625" bestFit="1" customWidth="1"/>
    <col min="2" max="2" width="23.28515625" bestFit="1" customWidth="1"/>
    <col min="3" max="4" width="12" bestFit="1" customWidth="1"/>
  </cols>
  <sheetData>
    <row r="1" spans="1:2" x14ac:dyDescent="0.25">
      <c r="A1" s="8" t="s">
        <v>110</v>
      </c>
      <c r="B1" t="s">
        <v>114</v>
      </c>
    </row>
    <row r="2" spans="1:2" x14ac:dyDescent="0.25">
      <c r="A2" s="9" t="s">
        <v>112</v>
      </c>
      <c r="B2" s="10">
        <v>1530</v>
      </c>
    </row>
    <row r="3" spans="1:2" x14ac:dyDescent="0.25">
      <c r="A3" s="9" t="s">
        <v>113</v>
      </c>
      <c r="B3" s="10">
        <v>1406.6666666666667</v>
      </c>
    </row>
    <row r="4" spans="1:2" x14ac:dyDescent="0.25">
      <c r="A4" s="9" t="s">
        <v>111</v>
      </c>
      <c r="B4" s="10">
        <v>1477.1428571428571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C6AD-2F95-48EE-9CE1-DD3DDAF59887}">
  <dimension ref="A1:N1000"/>
  <sheetViews>
    <sheetView workbookViewId="0">
      <selection sqref="A1:N36"/>
    </sheetView>
  </sheetViews>
  <sheetFormatPr defaultColWidth="14.42578125" defaultRowHeight="15" customHeight="1" x14ac:dyDescent="0.25"/>
  <cols>
    <col min="1" max="1" width="13.42578125" bestFit="1" customWidth="1"/>
    <col min="2" max="2" width="16.140625" bestFit="1" customWidth="1"/>
    <col min="3" max="3" width="9" bestFit="1" customWidth="1"/>
    <col min="4" max="4" width="12.28515625" bestFit="1" customWidth="1"/>
    <col min="5" max="5" width="22.5703125" bestFit="1" customWidth="1"/>
    <col min="6" max="6" width="14.85546875" bestFit="1" customWidth="1"/>
    <col min="7" max="7" width="14" bestFit="1" customWidth="1"/>
    <col min="8" max="8" width="17.42578125" bestFit="1" customWidth="1"/>
    <col min="9" max="9" width="15.85546875" bestFit="1" customWidth="1"/>
    <col min="10" max="10" width="19.42578125" customWidth="1"/>
    <col min="11" max="11" width="26.7109375" customWidth="1"/>
    <col min="12" max="12" width="32" bestFit="1" customWidth="1"/>
    <col min="13" max="13" width="11.140625" customWidth="1"/>
    <col min="14" max="14" width="16.7109375" bestFit="1" customWidth="1"/>
    <col min="15" max="26" width="8.7109375" customWidth="1"/>
  </cols>
  <sheetData>
    <row r="1" spans="1:14" x14ac:dyDescent="0.25">
      <c r="A1" s="1" t="s">
        <v>107</v>
      </c>
      <c r="B1" s="1" t="s">
        <v>0</v>
      </c>
      <c r="C1" s="1" t="s">
        <v>1</v>
      </c>
      <c r="D1" s="1" t="s">
        <v>2</v>
      </c>
      <c r="E1" s="1" t="s">
        <v>3</v>
      </c>
      <c r="F1" s="1" t="s">
        <v>4</v>
      </c>
      <c r="G1" s="1" t="s">
        <v>5</v>
      </c>
      <c r="H1" s="1" t="s">
        <v>6</v>
      </c>
      <c r="I1" s="1" t="s">
        <v>7</v>
      </c>
      <c r="J1" s="1" t="s">
        <v>8</v>
      </c>
      <c r="K1" s="1" t="s">
        <v>9</v>
      </c>
      <c r="L1" s="1" t="s">
        <v>108</v>
      </c>
      <c r="M1" s="7" t="s">
        <v>109</v>
      </c>
      <c r="N1" s="1" t="s">
        <v>115</v>
      </c>
    </row>
    <row r="2" spans="1:14" x14ac:dyDescent="0.25">
      <c r="A2" s="2" t="s">
        <v>10</v>
      </c>
      <c r="B2" s="2" t="s">
        <v>11</v>
      </c>
      <c r="C2" s="2">
        <v>59</v>
      </c>
      <c r="D2" s="2" t="s">
        <v>12</v>
      </c>
      <c r="E2" s="2" t="s">
        <v>13</v>
      </c>
      <c r="F2" s="3">
        <v>45235</v>
      </c>
      <c r="G2" s="3">
        <v>45425</v>
      </c>
      <c r="H2" s="2">
        <v>800</v>
      </c>
      <c r="I2" s="2">
        <v>25</v>
      </c>
      <c r="J2" s="2" t="s">
        <v>14</v>
      </c>
      <c r="K2" s="2" t="s">
        <v>15</v>
      </c>
      <c r="L2" s="5">
        <f>ROUNDDOWN((Table1345[[#This Row],[End_Date]]-Table1345[[#This Row],[Start_Date]])/30,0)</f>
        <v>6</v>
      </c>
      <c r="M2" s="6" t="str">
        <f>IF(Table1345[[#This Row],[Referred_By]]&lt;&gt;"","YES","NO")</f>
        <v>YES</v>
      </c>
      <c r="N2" s="11">
        <f>Table1345[[#This Row],[Monthly_Fee]]*Table1345[[#This Row],[Membership_Duration_Months]]</f>
        <v>4800</v>
      </c>
    </row>
    <row r="3" spans="1:14" x14ac:dyDescent="0.25">
      <c r="A3" s="2" t="s">
        <v>16</v>
      </c>
      <c r="B3" s="2" t="s">
        <v>17</v>
      </c>
      <c r="C3" s="2">
        <v>27</v>
      </c>
      <c r="D3" s="2" t="s">
        <v>12</v>
      </c>
      <c r="E3" s="2" t="s">
        <v>13</v>
      </c>
      <c r="F3" s="3">
        <v>45714</v>
      </c>
      <c r="G3" s="3">
        <v>45740</v>
      </c>
      <c r="H3" s="2">
        <v>800</v>
      </c>
      <c r="I3" s="2">
        <v>20</v>
      </c>
      <c r="J3" s="2" t="s">
        <v>18</v>
      </c>
      <c r="K3" s="2" t="s">
        <v>19</v>
      </c>
      <c r="L3" s="5">
        <f>ROUNDDOWN((Table1345[[#This Row],[End_Date]]-Table1345[[#This Row],[Start_Date]])/30,0)</f>
        <v>0</v>
      </c>
      <c r="M3" s="6" t="str">
        <f>IF(Table1345[[#This Row],[Referred_By]]&lt;&gt;"","YES","NO")</f>
        <v>YES</v>
      </c>
      <c r="N3" s="11">
        <f>Table1345[[#This Row],[Monthly_Fee]]*Table1345[[#This Row],[Membership_Duration_Months]]</f>
        <v>0</v>
      </c>
    </row>
    <row r="4" spans="1:14" x14ac:dyDescent="0.25">
      <c r="A4" s="2" t="s">
        <v>20</v>
      </c>
      <c r="B4" s="2" t="s">
        <v>21</v>
      </c>
      <c r="C4" s="2">
        <v>24</v>
      </c>
      <c r="D4" s="2" t="s">
        <v>12</v>
      </c>
      <c r="E4" s="2" t="s">
        <v>22</v>
      </c>
      <c r="F4" s="3">
        <v>45191</v>
      </c>
      <c r="G4" s="3">
        <v>45371</v>
      </c>
      <c r="H4" s="2">
        <v>1200</v>
      </c>
      <c r="I4" s="2">
        <v>18</v>
      </c>
      <c r="J4" s="2" t="s">
        <v>23</v>
      </c>
      <c r="K4" s="2" t="s">
        <v>24</v>
      </c>
      <c r="L4" s="5">
        <f>ROUNDDOWN((Table1345[[#This Row],[End_Date]]-Table1345[[#This Row],[Start_Date]])/30,0)</f>
        <v>6</v>
      </c>
      <c r="M4" s="6" t="str">
        <f>IF(Table1345[[#This Row],[Referred_By]]&lt;&gt;"","YES","NO")</f>
        <v>YES</v>
      </c>
      <c r="N4" s="11">
        <f>Table1345[[#This Row],[Monthly_Fee]]*Table1345[[#This Row],[Membership_Duration_Months]]</f>
        <v>7200</v>
      </c>
    </row>
    <row r="5" spans="1:14" x14ac:dyDescent="0.25">
      <c r="A5" s="2" t="s">
        <v>25</v>
      </c>
      <c r="B5" s="2" t="s">
        <v>26</v>
      </c>
      <c r="C5" s="2">
        <v>31</v>
      </c>
      <c r="D5" s="2" t="s">
        <v>27</v>
      </c>
      <c r="E5" s="2" t="s">
        <v>22</v>
      </c>
      <c r="F5" s="3">
        <v>45479</v>
      </c>
      <c r="G5" s="3">
        <v>45587</v>
      </c>
      <c r="H5" s="2">
        <v>1200</v>
      </c>
      <c r="I5" s="2">
        <v>16</v>
      </c>
      <c r="J5" s="2" t="s">
        <v>23</v>
      </c>
      <c r="K5" s="2" t="s">
        <v>28</v>
      </c>
      <c r="L5" s="5">
        <f>ROUNDDOWN((Table1345[[#This Row],[End_Date]]-Table1345[[#This Row],[Start_Date]])/30,0)</f>
        <v>3</v>
      </c>
      <c r="M5" s="6" t="str">
        <f>IF(Table1345[[#This Row],[Referred_By]]&lt;&gt;"","YES","NO")</f>
        <v>YES</v>
      </c>
      <c r="N5" s="11">
        <f>Table1345[[#This Row],[Monthly_Fee]]*Table1345[[#This Row],[Membership_Duration_Months]]</f>
        <v>3600</v>
      </c>
    </row>
    <row r="6" spans="1:14" x14ac:dyDescent="0.25">
      <c r="A6" s="2" t="s">
        <v>29</v>
      </c>
      <c r="B6" s="2" t="s">
        <v>30</v>
      </c>
      <c r="C6" s="2">
        <v>19</v>
      </c>
      <c r="D6" s="2" t="s">
        <v>12</v>
      </c>
      <c r="E6" s="2" t="s">
        <v>31</v>
      </c>
      <c r="F6" s="3">
        <v>45286</v>
      </c>
      <c r="G6" s="3">
        <v>45501</v>
      </c>
      <c r="H6" s="2">
        <v>2500</v>
      </c>
      <c r="I6" s="2">
        <v>12</v>
      </c>
      <c r="J6" s="2" t="s">
        <v>14</v>
      </c>
      <c r="K6" s="2" t="s">
        <v>32</v>
      </c>
      <c r="L6" s="5">
        <f>ROUNDDOWN((Table1345[[#This Row],[End_Date]]-Table1345[[#This Row],[Start_Date]])/30,0)</f>
        <v>7</v>
      </c>
      <c r="M6" s="6" t="str">
        <f>IF(Table1345[[#This Row],[Referred_By]]&lt;&gt;"","YES","NO")</f>
        <v>YES</v>
      </c>
      <c r="N6" s="11">
        <f>Table1345[[#This Row],[Monthly_Fee]]*Table1345[[#This Row],[Membership_Duration_Months]]</f>
        <v>17500</v>
      </c>
    </row>
    <row r="7" spans="1:14" x14ac:dyDescent="0.25">
      <c r="A7" s="2" t="s">
        <v>33</v>
      </c>
      <c r="B7" s="2" t="s">
        <v>34</v>
      </c>
      <c r="C7" s="2">
        <v>40</v>
      </c>
      <c r="D7" s="2" t="s">
        <v>12</v>
      </c>
      <c r="E7" s="2" t="s">
        <v>13</v>
      </c>
      <c r="F7" s="3">
        <v>45317</v>
      </c>
      <c r="G7" s="3">
        <v>45392</v>
      </c>
      <c r="H7" s="2">
        <v>800</v>
      </c>
      <c r="I7" s="2">
        <v>14</v>
      </c>
      <c r="J7" s="2" t="s">
        <v>35</v>
      </c>
      <c r="K7" s="2" t="s">
        <v>36</v>
      </c>
      <c r="L7" s="5">
        <f>ROUNDDOWN((Table1345[[#This Row],[End_Date]]-Table1345[[#This Row],[Start_Date]])/30,0)</f>
        <v>2</v>
      </c>
      <c r="M7" s="6" t="str">
        <f>IF(Table1345[[#This Row],[Referred_By]]&lt;&gt;"","YES","NO")</f>
        <v>YES</v>
      </c>
      <c r="N7" s="11">
        <f>Table1345[[#This Row],[Monthly_Fee]]*Table1345[[#This Row],[Membership_Duration_Months]]</f>
        <v>1600</v>
      </c>
    </row>
    <row r="8" spans="1:14" x14ac:dyDescent="0.25">
      <c r="A8" s="2" t="s">
        <v>43</v>
      </c>
      <c r="B8" s="2" t="s">
        <v>44</v>
      </c>
      <c r="C8" s="2">
        <v>42</v>
      </c>
      <c r="D8" s="2" t="s">
        <v>12</v>
      </c>
      <c r="E8" s="2" t="s">
        <v>13</v>
      </c>
      <c r="F8" s="3">
        <v>45569</v>
      </c>
      <c r="G8" s="3">
        <v>45582</v>
      </c>
      <c r="H8" s="2">
        <v>800</v>
      </c>
      <c r="I8" s="2">
        <v>3</v>
      </c>
      <c r="J8" s="2" t="s">
        <v>42</v>
      </c>
      <c r="K8" s="2" t="s">
        <v>45</v>
      </c>
      <c r="L8" s="5">
        <f>ROUNDDOWN((Table1345[[#This Row],[End_Date]]-Table1345[[#This Row],[Start_Date]])/30,0)</f>
        <v>0</v>
      </c>
      <c r="M8" s="6" t="str">
        <f>IF(Table1345[[#This Row],[Referred_By]]&lt;&gt;"","YES","NO")</f>
        <v>YES</v>
      </c>
      <c r="N8" s="11">
        <f>Table1345[[#This Row],[Monthly_Fee]]*Table1345[[#This Row],[Membership_Duration_Months]]</f>
        <v>0</v>
      </c>
    </row>
    <row r="9" spans="1:14" x14ac:dyDescent="0.25">
      <c r="A9" s="2" t="s">
        <v>46</v>
      </c>
      <c r="B9" s="2" t="s">
        <v>47</v>
      </c>
      <c r="C9" s="2">
        <v>37</v>
      </c>
      <c r="D9" s="2" t="s">
        <v>12</v>
      </c>
      <c r="E9" s="2" t="s">
        <v>22</v>
      </c>
      <c r="F9" s="3">
        <v>45202</v>
      </c>
      <c r="G9" s="3">
        <v>45280</v>
      </c>
      <c r="H9" s="2">
        <v>1200</v>
      </c>
      <c r="I9" s="2">
        <v>29</v>
      </c>
      <c r="J9" s="2" t="s">
        <v>35</v>
      </c>
      <c r="K9" s="2" t="s">
        <v>48</v>
      </c>
      <c r="L9" s="5">
        <f>ROUNDDOWN((Table1345[[#This Row],[End_Date]]-Table1345[[#This Row],[Start_Date]])/30,0)</f>
        <v>2</v>
      </c>
      <c r="M9" s="6" t="str">
        <f>IF(Table1345[[#This Row],[Referred_By]]&lt;&gt;"","YES","NO")</f>
        <v>YES</v>
      </c>
      <c r="N9" s="11">
        <f>Table1345[[#This Row],[Monthly_Fee]]*Table1345[[#This Row],[Membership_Duration_Months]]</f>
        <v>2400</v>
      </c>
    </row>
    <row r="10" spans="1:14" x14ac:dyDescent="0.25">
      <c r="A10" s="2" t="s">
        <v>49</v>
      </c>
      <c r="B10" s="2" t="s">
        <v>50</v>
      </c>
      <c r="C10" s="2">
        <v>48</v>
      </c>
      <c r="D10" s="2" t="s">
        <v>27</v>
      </c>
      <c r="E10" s="2" t="s">
        <v>22</v>
      </c>
      <c r="F10" s="3">
        <v>45297</v>
      </c>
      <c r="G10" s="3">
        <v>45459</v>
      </c>
      <c r="H10" s="2">
        <v>1200</v>
      </c>
      <c r="I10" s="2">
        <v>13</v>
      </c>
      <c r="J10" s="2" t="s">
        <v>14</v>
      </c>
      <c r="K10" s="2" t="s">
        <v>51</v>
      </c>
      <c r="L10" s="5">
        <f>ROUNDDOWN((Table1345[[#This Row],[End_Date]]-Table1345[[#This Row],[Start_Date]])/30,0)</f>
        <v>5</v>
      </c>
      <c r="M10" s="6" t="str">
        <f>IF(Table1345[[#This Row],[Referred_By]]&lt;&gt;"","YES","NO")</f>
        <v>YES</v>
      </c>
      <c r="N10" s="11">
        <f>Table1345[[#This Row],[Monthly_Fee]]*Table1345[[#This Row],[Membership_Duration_Months]]</f>
        <v>6000</v>
      </c>
    </row>
    <row r="11" spans="1:14" x14ac:dyDescent="0.25">
      <c r="A11" s="2" t="s">
        <v>52</v>
      </c>
      <c r="B11" s="2" t="s">
        <v>53</v>
      </c>
      <c r="C11" s="2">
        <v>36</v>
      </c>
      <c r="D11" s="2" t="s">
        <v>12</v>
      </c>
      <c r="E11" s="2" t="s">
        <v>22</v>
      </c>
      <c r="F11" s="3">
        <v>45154</v>
      </c>
      <c r="G11" s="3">
        <v>45568</v>
      </c>
      <c r="H11" s="2">
        <v>1200</v>
      </c>
      <c r="I11" s="2">
        <v>19</v>
      </c>
      <c r="J11" s="2" t="s">
        <v>42</v>
      </c>
      <c r="K11" s="2" t="s">
        <v>54</v>
      </c>
      <c r="L11" s="5">
        <f>ROUNDDOWN((Table1345[[#This Row],[End_Date]]-Table1345[[#This Row],[Start_Date]])/30,0)</f>
        <v>13</v>
      </c>
      <c r="M11" s="6" t="str">
        <f>IF(Table1345[[#This Row],[Referred_By]]&lt;&gt;"","YES","NO")</f>
        <v>YES</v>
      </c>
      <c r="N11" s="11">
        <f>Table1345[[#This Row],[Monthly_Fee]]*Table1345[[#This Row],[Membership_Duration_Months]]</f>
        <v>15600</v>
      </c>
    </row>
    <row r="12" spans="1:14" x14ac:dyDescent="0.25">
      <c r="A12" s="2" t="s">
        <v>70</v>
      </c>
      <c r="B12" s="2" t="s">
        <v>71</v>
      </c>
      <c r="C12" s="2">
        <v>28</v>
      </c>
      <c r="D12" s="2" t="s">
        <v>12</v>
      </c>
      <c r="E12" s="2" t="s">
        <v>31</v>
      </c>
      <c r="F12" s="3">
        <v>45417</v>
      </c>
      <c r="G12" s="3">
        <v>45608</v>
      </c>
      <c r="H12" s="2">
        <v>2500</v>
      </c>
      <c r="I12" s="2">
        <v>21</v>
      </c>
      <c r="J12" s="2" t="s">
        <v>35</v>
      </c>
      <c r="K12" s="2" t="s">
        <v>72</v>
      </c>
      <c r="L12" s="5">
        <f>ROUNDDOWN((Table1345[[#This Row],[End_Date]]-Table1345[[#This Row],[Start_Date]])/30,0)</f>
        <v>6</v>
      </c>
      <c r="M12" s="6" t="str">
        <f>IF(Table1345[[#This Row],[Referred_By]]&lt;&gt;"","YES","NO")</f>
        <v>YES</v>
      </c>
      <c r="N12" s="11">
        <f>Table1345[[#This Row],[Monthly_Fee]]*Table1345[[#This Row],[Membership_Duration_Months]]</f>
        <v>15000</v>
      </c>
    </row>
    <row r="13" spans="1:14" x14ac:dyDescent="0.25">
      <c r="A13" s="2" t="s">
        <v>81</v>
      </c>
      <c r="B13" s="2" t="s">
        <v>82</v>
      </c>
      <c r="C13" s="2">
        <v>53</v>
      </c>
      <c r="D13" s="2" t="s">
        <v>12</v>
      </c>
      <c r="E13" s="2" t="s">
        <v>41</v>
      </c>
      <c r="F13" s="3">
        <v>45286</v>
      </c>
      <c r="G13" s="3">
        <v>45372</v>
      </c>
      <c r="H13" s="2">
        <v>1800</v>
      </c>
      <c r="I13" s="2">
        <v>17</v>
      </c>
      <c r="J13" s="2" t="s">
        <v>35</v>
      </c>
      <c r="K13" s="2" t="s">
        <v>83</v>
      </c>
      <c r="L13" s="5">
        <f>ROUNDDOWN((Table1345[[#This Row],[End_Date]]-Table1345[[#This Row],[Start_Date]])/30,0)</f>
        <v>2</v>
      </c>
      <c r="M13" s="6" t="str">
        <f>IF(Table1345[[#This Row],[Referred_By]]&lt;&gt;"","YES","NO")</f>
        <v>YES</v>
      </c>
      <c r="N13" s="11">
        <f>Table1345[[#This Row],[Monthly_Fee]]*Table1345[[#This Row],[Membership_Duration_Months]]</f>
        <v>3600</v>
      </c>
    </row>
    <row r="14" spans="1:14" x14ac:dyDescent="0.25">
      <c r="A14" s="2" t="s">
        <v>92</v>
      </c>
      <c r="B14" s="2" t="s">
        <v>93</v>
      </c>
      <c r="C14" s="2">
        <v>31</v>
      </c>
      <c r="D14" s="2" t="s">
        <v>27</v>
      </c>
      <c r="E14" s="2" t="s">
        <v>31</v>
      </c>
      <c r="F14" s="3">
        <v>45667</v>
      </c>
      <c r="G14" s="3">
        <v>45745</v>
      </c>
      <c r="H14" s="2">
        <v>2500</v>
      </c>
      <c r="I14" s="2">
        <v>23</v>
      </c>
      <c r="J14" s="2" t="s">
        <v>42</v>
      </c>
      <c r="K14" s="2" t="s">
        <v>94</v>
      </c>
      <c r="L14" s="5">
        <f>ROUNDDOWN((Table1345[[#This Row],[End_Date]]-Table1345[[#This Row],[Start_Date]])/30,0)</f>
        <v>2</v>
      </c>
      <c r="M14" s="6" t="str">
        <f>IF(Table1345[[#This Row],[Referred_By]]&lt;&gt;"","YES","NO")</f>
        <v>YES</v>
      </c>
      <c r="N14" s="11">
        <f>Table1345[[#This Row],[Monthly_Fee]]*Table1345[[#This Row],[Membership_Duration_Months]]</f>
        <v>5000</v>
      </c>
    </row>
    <row r="15" spans="1:14" x14ac:dyDescent="0.25">
      <c r="A15" s="2" t="s">
        <v>95</v>
      </c>
      <c r="B15" s="2" t="s">
        <v>96</v>
      </c>
      <c r="C15" s="2">
        <v>52</v>
      </c>
      <c r="D15" s="2" t="s">
        <v>27</v>
      </c>
      <c r="E15" s="2" t="s">
        <v>13</v>
      </c>
      <c r="F15" s="3">
        <v>45088</v>
      </c>
      <c r="G15" s="3">
        <v>45656</v>
      </c>
      <c r="H15" s="2">
        <v>800</v>
      </c>
      <c r="I15" s="2">
        <v>9</v>
      </c>
      <c r="J15" s="2" t="s">
        <v>67</v>
      </c>
      <c r="K15" s="2" t="s">
        <v>97</v>
      </c>
      <c r="L15" s="5">
        <f>ROUNDDOWN((Table1345[[#This Row],[End_Date]]-Table1345[[#This Row],[Start_Date]])/30,0)</f>
        <v>18</v>
      </c>
      <c r="M15" s="6" t="str">
        <f>IF(Table1345[[#This Row],[Referred_By]]&lt;&gt;"","YES","NO")</f>
        <v>YES</v>
      </c>
      <c r="N15" s="11">
        <f>Table1345[[#This Row],[Monthly_Fee]]*Table1345[[#This Row],[Membership_Duration_Months]]</f>
        <v>14400</v>
      </c>
    </row>
    <row r="16" spans="1:14" x14ac:dyDescent="0.25">
      <c r="A16" s="2" t="s">
        <v>102</v>
      </c>
      <c r="B16" s="2" t="s">
        <v>103</v>
      </c>
      <c r="C16" s="2">
        <v>23</v>
      </c>
      <c r="D16" s="2" t="s">
        <v>12</v>
      </c>
      <c r="E16" s="2" t="s">
        <v>41</v>
      </c>
      <c r="F16" s="3">
        <v>45588</v>
      </c>
      <c r="G16" s="3">
        <v>45721</v>
      </c>
      <c r="H16" s="2">
        <v>1800</v>
      </c>
      <c r="I16" s="2">
        <v>23</v>
      </c>
      <c r="J16" s="2" t="s">
        <v>18</v>
      </c>
      <c r="K16" s="2" t="s">
        <v>104</v>
      </c>
      <c r="L16" s="5">
        <f>ROUNDDOWN((Table1345[[#This Row],[End_Date]]-Table1345[[#This Row],[Start_Date]])/30,0)</f>
        <v>4</v>
      </c>
      <c r="M16" s="6" t="str">
        <f>IF(Table1345[[#This Row],[Referred_By]]&lt;&gt;"","YES","NO")</f>
        <v>YES</v>
      </c>
      <c r="N16" s="11">
        <f>Table1345[[#This Row],[Monthly_Fee]]*Table1345[[#This Row],[Membership_Duration_Months]]</f>
        <v>7200</v>
      </c>
    </row>
    <row r="17" spans="1:14" x14ac:dyDescent="0.25">
      <c r="A17" s="2" t="s">
        <v>37</v>
      </c>
      <c r="B17" s="2" t="s">
        <v>38</v>
      </c>
      <c r="C17" s="2">
        <v>41</v>
      </c>
      <c r="D17" s="2" t="s">
        <v>27</v>
      </c>
      <c r="E17" s="2" t="s">
        <v>13</v>
      </c>
      <c r="F17" s="3">
        <v>45588</v>
      </c>
      <c r="G17" s="3">
        <v>45677</v>
      </c>
      <c r="H17" s="2">
        <v>800</v>
      </c>
      <c r="I17" s="2">
        <v>25</v>
      </c>
      <c r="J17" s="2" t="s">
        <v>18</v>
      </c>
      <c r="K17" s="4"/>
      <c r="L17" s="5">
        <f>ROUNDDOWN((Table1345[[#This Row],[End_Date]]-Table1345[[#This Row],[Start_Date]])/30,0)</f>
        <v>2</v>
      </c>
      <c r="M17" s="6" t="str">
        <f>IF(Table1345[[#This Row],[Referred_By]]&lt;&gt;"","YES","NO")</f>
        <v>NO</v>
      </c>
      <c r="N17" s="11">
        <f>Table1345[[#This Row],[Monthly_Fee]]*Table1345[[#This Row],[Membership_Duration_Months]]</f>
        <v>1600</v>
      </c>
    </row>
    <row r="18" spans="1:14" x14ac:dyDescent="0.25">
      <c r="A18" s="2" t="s">
        <v>39</v>
      </c>
      <c r="B18" s="2" t="s">
        <v>40</v>
      </c>
      <c r="C18" s="2">
        <v>43</v>
      </c>
      <c r="D18" s="2" t="s">
        <v>12</v>
      </c>
      <c r="E18" s="2" t="s">
        <v>41</v>
      </c>
      <c r="F18" s="3">
        <v>45450</v>
      </c>
      <c r="G18" s="3">
        <v>45563</v>
      </c>
      <c r="H18" s="2">
        <v>1800</v>
      </c>
      <c r="I18" s="2">
        <v>28</v>
      </c>
      <c r="J18" s="2" t="s">
        <v>42</v>
      </c>
      <c r="K18" s="4"/>
      <c r="L18" s="5">
        <f>ROUNDDOWN((Table1345[[#This Row],[End_Date]]-Table1345[[#This Row],[Start_Date]])/30,0)</f>
        <v>3</v>
      </c>
      <c r="M18" s="6" t="str">
        <f>IF(Table1345[[#This Row],[Referred_By]]&lt;&gt;"","YES","NO")</f>
        <v>NO</v>
      </c>
      <c r="N18" s="11">
        <f>Table1345[[#This Row],[Monthly_Fee]]*Table1345[[#This Row],[Membership_Duration_Months]]</f>
        <v>5400</v>
      </c>
    </row>
    <row r="19" spans="1:14" x14ac:dyDescent="0.25">
      <c r="A19" s="2" t="s">
        <v>55</v>
      </c>
      <c r="B19" s="2" t="s">
        <v>56</v>
      </c>
      <c r="C19" s="2">
        <v>48</v>
      </c>
      <c r="D19" s="2" t="s">
        <v>27</v>
      </c>
      <c r="E19" s="2" t="s">
        <v>41</v>
      </c>
      <c r="F19" s="3">
        <v>45556</v>
      </c>
      <c r="G19" s="3">
        <v>45641</v>
      </c>
      <c r="H19" s="2">
        <v>1800</v>
      </c>
      <c r="I19" s="2">
        <v>22</v>
      </c>
      <c r="J19" s="2" t="s">
        <v>42</v>
      </c>
      <c r="K19" s="4"/>
      <c r="L19" s="5">
        <f>ROUNDDOWN((Table1345[[#This Row],[End_Date]]-Table1345[[#This Row],[Start_Date]])/30,0)</f>
        <v>2</v>
      </c>
      <c r="M19" s="6" t="str">
        <f>IF(Table1345[[#This Row],[Referred_By]]&lt;&gt;"","YES","NO")</f>
        <v>NO</v>
      </c>
      <c r="N19" s="11">
        <f>Table1345[[#This Row],[Monthly_Fee]]*Table1345[[#This Row],[Membership_Duration_Months]]</f>
        <v>3600</v>
      </c>
    </row>
    <row r="20" spans="1:14" x14ac:dyDescent="0.25">
      <c r="A20" s="2" t="s">
        <v>57</v>
      </c>
      <c r="B20" s="2" t="s">
        <v>58</v>
      </c>
      <c r="C20" s="2">
        <v>39</v>
      </c>
      <c r="D20" s="2" t="s">
        <v>12</v>
      </c>
      <c r="E20" s="2" t="s">
        <v>22</v>
      </c>
      <c r="F20" s="3">
        <v>45065</v>
      </c>
      <c r="G20" s="3">
        <v>45242</v>
      </c>
      <c r="H20" s="2">
        <v>1200</v>
      </c>
      <c r="I20" s="2">
        <v>28</v>
      </c>
      <c r="J20" s="2" t="s">
        <v>35</v>
      </c>
      <c r="K20" s="4"/>
      <c r="L20" s="5">
        <f>ROUNDDOWN((Table1345[[#This Row],[End_Date]]-Table1345[[#This Row],[Start_Date]])/30,0)</f>
        <v>5</v>
      </c>
      <c r="M20" s="6" t="str">
        <f>IF(Table1345[[#This Row],[Referred_By]]&lt;&gt;"","YES","NO")</f>
        <v>NO</v>
      </c>
      <c r="N20" s="11">
        <f>Table1345[[#This Row],[Monthly_Fee]]*Table1345[[#This Row],[Membership_Duration_Months]]</f>
        <v>6000</v>
      </c>
    </row>
    <row r="21" spans="1:14" ht="15.75" customHeight="1" x14ac:dyDescent="0.25">
      <c r="A21" s="2" t="s">
        <v>59</v>
      </c>
      <c r="B21" s="2" t="s">
        <v>60</v>
      </c>
      <c r="C21" s="2">
        <v>44</v>
      </c>
      <c r="D21" s="2" t="s">
        <v>27</v>
      </c>
      <c r="E21" s="2" t="s">
        <v>13</v>
      </c>
      <c r="F21" s="3">
        <v>45333</v>
      </c>
      <c r="G21" s="3">
        <v>45540</v>
      </c>
      <c r="H21" s="2">
        <v>800</v>
      </c>
      <c r="I21" s="2">
        <v>8</v>
      </c>
      <c r="J21" s="2" t="s">
        <v>23</v>
      </c>
      <c r="K21" s="4"/>
      <c r="L21" s="5">
        <f>ROUNDDOWN((Table1345[[#This Row],[End_Date]]-Table1345[[#This Row],[Start_Date]])/30,0)</f>
        <v>6</v>
      </c>
      <c r="M21" s="6" t="str">
        <f>IF(Table1345[[#This Row],[Referred_By]]&lt;&gt;"","YES","NO")</f>
        <v>NO</v>
      </c>
      <c r="N21" s="11">
        <f>Table1345[[#This Row],[Monthly_Fee]]*Table1345[[#This Row],[Membership_Duration_Months]]</f>
        <v>4800</v>
      </c>
    </row>
    <row r="22" spans="1:14" ht="15.75" customHeight="1" x14ac:dyDescent="0.25">
      <c r="A22" s="2" t="s">
        <v>61</v>
      </c>
      <c r="B22" s="2" t="s">
        <v>62</v>
      </c>
      <c r="C22" s="2">
        <v>39</v>
      </c>
      <c r="D22" s="2" t="s">
        <v>12</v>
      </c>
      <c r="E22" s="2" t="s">
        <v>31</v>
      </c>
      <c r="F22" s="3">
        <v>45702</v>
      </c>
      <c r="G22" s="3">
        <v>45732</v>
      </c>
      <c r="H22" s="2">
        <v>2500</v>
      </c>
      <c r="I22" s="2">
        <v>14</v>
      </c>
      <c r="J22" s="2" t="s">
        <v>42</v>
      </c>
      <c r="K22" s="4"/>
      <c r="L22" s="5">
        <f>ROUNDDOWN((Table1345[[#This Row],[End_Date]]-Table1345[[#This Row],[Start_Date]])/30,0)</f>
        <v>1</v>
      </c>
      <c r="M22" s="6" t="str">
        <f>IF(Table1345[[#This Row],[Referred_By]]&lt;&gt;"","YES","NO")</f>
        <v>NO</v>
      </c>
      <c r="N22" s="11">
        <f>Table1345[[#This Row],[Monthly_Fee]]*Table1345[[#This Row],[Membership_Duration_Months]]</f>
        <v>2500</v>
      </c>
    </row>
    <row r="23" spans="1:14" ht="15.75" customHeight="1" x14ac:dyDescent="0.25">
      <c r="A23" s="2" t="s">
        <v>63</v>
      </c>
      <c r="B23" s="2" t="s">
        <v>64</v>
      </c>
      <c r="C23" s="2">
        <v>35</v>
      </c>
      <c r="D23" s="2" t="s">
        <v>12</v>
      </c>
      <c r="E23" s="2" t="s">
        <v>22</v>
      </c>
      <c r="F23" s="3">
        <v>45329</v>
      </c>
      <c r="G23" s="3">
        <v>45685</v>
      </c>
      <c r="H23" s="2">
        <v>1200</v>
      </c>
      <c r="I23" s="2">
        <v>25</v>
      </c>
      <c r="J23" s="2" t="s">
        <v>23</v>
      </c>
      <c r="K23" s="4"/>
      <c r="L23" s="5">
        <f>ROUNDDOWN((Table1345[[#This Row],[End_Date]]-Table1345[[#This Row],[Start_Date]])/30,0)</f>
        <v>11</v>
      </c>
      <c r="M23" s="6" t="str">
        <f>IF(Table1345[[#This Row],[Referred_By]]&lt;&gt;"","YES","NO")</f>
        <v>NO</v>
      </c>
      <c r="N23" s="11">
        <f>Table1345[[#This Row],[Monthly_Fee]]*Table1345[[#This Row],[Membership_Duration_Months]]</f>
        <v>13200</v>
      </c>
    </row>
    <row r="24" spans="1:14" ht="15.75" customHeight="1" x14ac:dyDescent="0.25">
      <c r="A24" s="2" t="s">
        <v>65</v>
      </c>
      <c r="B24" s="2" t="s">
        <v>66</v>
      </c>
      <c r="C24" s="2">
        <v>56</v>
      </c>
      <c r="D24" s="2" t="s">
        <v>27</v>
      </c>
      <c r="E24" s="2" t="s">
        <v>31</v>
      </c>
      <c r="F24" s="3">
        <v>45213</v>
      </c>
      <c r="G24" s="3">
        <v>45649</v>
      </c>
      <c r="H24" s="2">
        <v>2500</v>
      </c>
      <c r="I24" s="2">
        <v>13</v>
      </c>
      <c r="J24" s="2" t="s">
        <v>67</v>
      </c>
      <c r="K24" s="4"/>
      <c r="L24" s="5">
        <f>ROUNDDOWN((Table1345[[#This Row],[End_Date]]-Table1345[[#This Row],[Start_Date]])/30,0)</f>
        <v>14</v>
      </c>
      <c r="M24" s="6" t="str">
        <f>IF(Table1345[[#This Row],[Referred_By]]&lt;&gt;"","YES","NO")</f>
        <v>NO</v>
      </c>
      <c r="N24" s="11">
        <f>Table1345[[#This Row],[Monthly_Fee]]*Table1345[[#This Row],[Membership_Duration_Months]]</f>
        <v>35000</v>
      </c>
    </row>
    <row r="25" spans="1:14" ht="15.75" customHeight="1" x14ac:dyDescent="0.25">
      <c r="A25" s="2" t="s">
        <v>68</v>
      </c>
      <c r="B25" s="2" t="s">
        <v>69</v>
      </c>
      <c r="C25" s="2">
        <v>27</v>
      </c>
      <c r="D25" s="2" t="s">
        <v>27</v>
      </c>
      <c r="E25" s="2" t="s">
        <v>13</v>
      </c>
      <c r="F25" s="3">
        <v>45354</v>
      </c>
      <c r="G25" s="3">
        <v>45664</v>
      </c>
      <c r="H25" s="2">
        <v>800</v>
      </c>
      <c r="I25" s="2">
        <v>26</v>
      </c>
      <c r="J25" s="2" t="s">
        <v>35</v>
      </c>
      <c r="K25" s="4"/>
      <c r="L25" s="5">
        <f>ROUNDDOWN((Table1345[[#This Row],[End_Date]]-Table1345[[#This Row],[Start_Date]])/30,0)</f>
        <v>10</v>
      </c>
      <c r="M25" s="6" t="str">
        <f>IF(Table1345[[#This Row],[Referred_By]]&lt;&gt;"","YES","NO")</f>
        <v>NO</v>
      </c>
      <c r="N25" s="11">
        <f>Table1345[[#This Row],[Monthly_Fee]]*Table1345[[#This Row],[Membership_Duration_Months]]</f>
        <v>8000</v>
      </c>
    </row>
    <row r="26" spans="1:14" ht="15.75" customHeight="1" x14ac:dyDescent="0.25">
      <c r="A26" s="2" t="s">
        <v>73</v>
      </c>
      <c r="B26" s="2" t="s">
        <v>74</v>
      </c>
      <c r="C26" s="2">
        <v>57</v>
      </c>
      <c r="D26" s="2" t="s">
        <v>27</v>
      </c>
      <c r="E26" s="2" t="s">
        <v>41</v>
      </c>
      <c r="F26" s="3">
        <v>45146</v>
      </c>
      <c r="G26" s="3">
        <v>45674</v>
      </c>
      <c r="H26" s="2">
        <v>1800</v>
      </c>
      <c r="I26" s="2">
        <v>19</v>
      </c>
      <c r="J26" s="2" t="s">
        <v>35</v>
      </c>
      <c r="K26" s="4"/>
      <c r="L26" s="5">
        <f>ROUNDDOWN((Table1345[[#This Row],[End_Date]]-Table1345[[#This Row],[Start_Date]])/30,0)</f>
        <v>17</v>
      </c>
      <c r="M26" s="6" t="str">
        <f>IF(Table1345[[#This Row],[Referred_By]]&lt;&gt;"","YES","NO")</f>
        <v>NO</v>
      </c>
      <c r="N26" s="11">
        <f>Table1345[[#This Row],[Monthly_Fee]]*Table1345[[#This Row],[Membership_Duration_Months]]</f>
        <v>30600</v>
      </c>
    </row>
    <row r="27" spans="1:14" ht="15.75" customHeight="1" x14ac:dyDescent="0.25">
      <c r="A27" s="2" t="s">
        <v>75</v>
      </c>
      <c r="B27" s="2" t="s">
        <v>76</v>
      </c>
      <c r="C27" s="2">
        <v>26</v>
      </c>
      <c r="D27" s="2" t="s">
        <v>27</v>
      </c>
      <c r="E27" s="2" t="s">
        <v>41</v>
      </c>
      <c r="F27" s="3">
        <v>45320</v>
      </c>
      <c r="G27" s="3">
        <v>45616</v>
      </c>
      <c r="H27" s="2">
        <v>1800</v>
      </c>
      <c r="I27" s="2">
        <v>5</v>
      </c>
      <c r="J27" s="2" t="s">
        <v>14</v>
      </c>
      <c r="K27" s="4"/>
      <c r="L27" s="5">
        <f>ROUNDDOWN((Table1345[[#This Row],[End_Date]]-Table1345[[#This Row],[Start_Date]])/30,0)</f>
        <v>9</v>
      </c>
      <c r="M27" s="6" t="str">
        <f>IF(Table1345[[#This Row],[Referred_By]]&lt;&gt;"","YES","NO")</f>
        <v>NO</v>
      </c>
      <c r="N27" s="11">
        <f>Table1345[[#This Row],[Monthly_Fee]]*Table1345[[#This Row],[Membership_Duration_Months]]</f>
        <v>16200</v>
      </c>
    </row>
    <row r="28" spans="1:14" ht="15.75" customHeight="1" x14ac:dyDescent="0.25">
      <c r="A28" s="2" t="s">
        <v>77</v>
      </c>
      <c r="B28" s="2" t="s">
        <v>78</v>
      </c>
      <c r="C28" s="2">
        <v>48</v>
      </c>
      <c r="D28" s="2" t="s">
        <v>12</v>
      </c>
      <c r="E28" s="2" t="s">
        <v>41</v>
      </c>
      <c r="F28" s="3">
        <v>45451</v>
      </c>
      <c r="G28" s="3">
        <v>45455</v>
      </c>
      <c r="H28" s="2">
        <v>1800</v>
      </c>
      <c r="I28" s="2">
        <v>18</v>
      </c>
      <c r="J28" s="2" t="s">
        <v>67</v>
      </c>
      <c r="K28" s="4"/>
      <c r="L28" s="5">
        <f>ROUNDDOWN((Table1345[[#This Row],[End_Date]]-Table1345[[#This Row],[Start_Date]])/30,0)</f>
        <v>0</v>
      </c>
      <c r="M28" s="6" t="str">
        <f>IF(Table1345[[#This Row],[Referred_By]]&lt;&gt;"","YES","NO")</f>
        <v>NO</v>
      </c>
      <c r="N28" s="11">
        <f>Table1345[[#This Row],[Monthly_Fee]]*Table1345[[#This Row],[Membership_Duration_Months]]</f>
        <v>0</v>
      </c>
    </row>
    <row r="29" spans="1:14" ht="15.75" customHeight="1" x14ac:dyDescent="0.25">
      <c r="A29" s="2" t="s">
        <v>79</v>
      </c>
      <c r="B29" s="2" t="s">
        <v>80</v>
      </c>
      <c r="C29" s="2">
        <v>25</v>
      </c>
      <c r="D29" s="2" t="s">
        <v>27</v>
      </c>
      <c r="E29" s="2" t="s">
        <v>22</v>
      </c>
      <c r="F29" s="3">
        <v>45439</v>
      </c>
      <c r="G29" s="3">
        <v>45730</v>
      </c>
      <c r="H29" s="2">
        <v>1200</v>
      </c>
      <c r="I29" s="2">
        <v>6</v>
      </c>
      <c r="J29" s="2" t="s">
        <v>14</v>
      </c>
      <c r="K29" s="4"/>
      <c r="L29" s="5">
        <f>ROUNDDOWN((Table1345[[#This Row],[End_Date]]-Table1345[[#This Row],[Start_Date]])/30,0)</f>
        <v>9</v>
      </c>
      <c r="M29" s="6" t="str">
        <f>IF(Table1345[[#This Row],[Referred_By]]&lt;&gt;"","YES","NO")</f>
        <v>NO</v>
      </c>
      <c r="N29" s="11">
        <f>Table1345[[#This Row],[Monthly_Fee]]*Table1345[[#This Row],[Membership_Duration_Months]]</f>
        <v>10800</v>
      </c>
    </row>
    <row r="30" spans="1:14" ht="15.75" customHeight="1" x14ac:dyDescent="0.25">
      <c r="A30" s="2" t="s">
        <v>84</v>
      </c>
      <c r="B30" s="2" t="s">
        <v>85</v>
      </c>
      <c r="C30" s="2">
        <v>42</v>
      </c>
      <c r="D30" s="2" t="s">
        <v>27</v>
      </c>
      <c r="E30" s="2" t="s">
        <v>22</v>
      </c>
      <c r="F30" s="3">
        <v>45702</v>
      </c>
      <c r="G30" s="3">
        <v>45727</v>
      </c>
      <c r="H30" s="2">
        <v>1200</v>
      </c>
      <c r="I30" s="2">
        <v>3</v>
      </c>
      <c r="J30" s="2" t="s">
        <v>67</v>
      </c>
      <c r="K30" s="4"/>
      <c r="L30" s="5">
        <f>ROUNDDOWN((Table1345[[#This Row],[End_Date]]-Table1345[[#This Row],[Start_Date]])/30,0)</f>
        <v>0</v>
      </c>
      <c r="M30" s="6" t="str">
        <f>IF(Table1345[[#This Row],[Referred_By]]&lt;&gt;"","YES","NO")</f>
        <v>NO</v>
      </c>
      <c r="N30" s="11">
        <f>Table1345[[#This Row],[Monthly_Fee]]*Table1345[[#This Row],[Membership_Duration_Months]]</f>
        <v>0</v>
      </c>
    </row>
    <row r="31" spans="1:14" ht="15.75" customHeight="1" x14ac:dyDescent="0.25">
      <c r="A31" s="2" t="s">
        <v>86</v>
      </c>
      <c r="B31" s="2" t="s">
        <v>87</v>
      </c>
      <c r="C31" s="2">
        <v>24</v>
      </c>
      <c r="D31" s="2" t="s">
        <v>12</v>
      </c>
      <c r="E31" s="2" t="s">
        <v>31</v>
      </c>
      <c r="F31" s="3">
        <v>45698</v>
      </c>
      <c r="G31" s="3">
        <v>45726</v>
      </c>
      <c r="H31" s="2">
        <v>2500</v>
      </c>
      <c r="I31" s="2">
        <v>28</v>
      </c>
      <c r="J31" s="2" t="s">
        <v>35</v>
      </c>
      <c r="K31" s="4"/>
      <c r="L31" s="5">
        <f>ROUNDDOWN((Table1345[[#This Row],[End_Date]]-Table1345[[#This Row],[Start_Date]])/30,0)</f>
        <v>0</v>
      </c>
      <c r="M31" s="6" t="str">
        <f>IF(Table1345[[#This Row],[Referred_By]]&lt;&gt;"","YES","NO")</f>
        <v>NO</v>
      </c>
      <c r="N31" s="11">
        <f>Table1345[[#This Row],[Monthly_Fee]]*Table1345[[#This Row],[Membership_Duration_Months]]</f>
        <v>0</v>
      </c>
    </row>
    <row r="32" spans="1:14" ht="15.75" customHeight="1" x14ac:dyDescent="0.25">
      <c r="A32" s="2" t="s">
        <v>88</v>
      </c>
      <c r="B32" s="2" t="s">
        <v>89</v>
      </c>
      <c r="C32" s="2">
        <v>53</v>
      </c>
      <c r="D32" s="2" t="s">
        <v>12</v>
      </c>
      <c r="E32" s="2" t="s">
        <v>22</v>
      </c>
      <c r="F32" s="3">
        <v>45614</v>
      </c>
      <c r="G32" s="3">
        <v>45645</v>
      </c>
      <c r="H32" s="2">
        <v>1200</v>
      </c>
      <c r="I32" s="2">
        <v>23</v>
      </c>
      <c r="J32" s="2" t="s">
        <v>18</v>
      </c>
      <c r="K32" s="4"/>
      <c r="L32" s="5">
        <f>ROUNDDOWN((Table1345[[#This Row],[End_Date]]-Table1345[[#This Row],[Start_Date]])/30,0)</f>
        <v>1</v>
      </c>
      <c r="M32" s="6" t="str">
        <f>IF(Table1345[[#This Row],[Referred_By]]&lt;&gt;"","YES","NO")</f>
        <v>NO</v>
      </c>
      <c r="N32" s="11">
        <f>Table1345[[#This Row],[Monthly_Fee]]*Table1345[[#This Row],[Membership_Duration_Months]]</f>
        <v>1200</v>
      </c>
    </row>
    <row r="33" spans="1:14" ht="15.75" customHeight="1" x14ac:dyDescent="0.25">
      <c r="A33" s="2" t="s">
        <v>90</v>
      </c>
      <c r="B33" s="2" t="s">
        <v>91</v>
      </c>
      <c r="C33" s="2">
        <v>29</v>
      </c>
      <c r="D33" s="2" t="s">
        <v>27</v>
      </c>
      <c r="E33" s="2" t="s">
        <v>31</v>
      </c>
      <c r="F33" s="3">
        <v>45401</v>
      </c>
      <c r="G33" s="3">
        <v>45408</v>
      </c>
      <c r="H33" s="2">
        <v>2500</v>
      </c>
      <c r="I33" s="2">
        <v>8</v>
      </c>
      <c r="J33" s="2" t="s">
        <v>23</v>
      </c>
      <c r="K33" s="4"/>
      <c r="L33" s="5">
        <f>ROUNDDOWN((Table1345[[#This Row],[End_Date]]-Table1345[[#This Row],[Start_Date]])/30,0)</f>
        <v>0</v>
      </c>
      <c r="M33" s="6" t="str">
        <f>IF(Table1345[[#This Row],[Referred_By]]&lt;&gt;"","YES","NO")</f>
        <v>NO</v>
      </c>
      <c r="N33" s="11">
        <f>Table1345[[#This Row],[Monthly_Fee]]*Table1345[[#This Row],[Membership_Duration_Months]]</f>
        <v>0</v>
      </c>
    </row>
    <row r="34" spans="1:14" ht="15.75" customHeight="1" x14ac:dyDescent="0.25">
      <c r="A34" s="2" t="s">
        <v>98</v>
      </c>
      <c r="B34" s="2" t="s">
        <v>99</v>
      </c>
      <c r="C34" s="2">
        <v>20</v>
      </c>
      <c r="D34" s="2" t="s">
        <v>12</v>
      </c>
      <c r="E34" s="2" t="s">
        <v>22</v>
      </c>
      <c r="F34" s="3">
        <v>45391</v>
      </c>
      <c r="G34" s="3">
        <v>45604</v>
      </c>
      <c r="H34" s="2">
        <v>1200</v>
      </c>
      <c r="I34" s="2">
        <v>2</v>
      </c>
      <c r="J34" s="2" t="s">
        <v>35</v>
      </c>
      <c r="K34" s="4"/>
      <c r="L34" s="5">
        <f>ROUNDDOWN((Table1345[[#This Row],[End_Date]]-Table1345[[#This Row],[Start_Date]])/30,0)</f>
        <v>7</v>
      </c>
      <c r="M34" s="6" t="str">
        <f>IF(Table1345[[#This Row],[Referred_By]]&lt;&gt;"","YES","NO")</f>
        <v>NO</v>
      </c>
      <c r="N34" s="11">
        <f>Table1345[[#This Row],[Monthly_Fee]]*Table1345[[#This Row],[Membership_Duration_Months]]</f>
        <v>8400</v>
      </c>
    </row>
    <row r="35" spans="1:14" ht="15.75" customHeight="1" x14ac:dyDescent="0.25">
      <c r="A35" s="2" t="s">
        <v>100</v>
      </c>
      <c r="B35" s="2" t="s">
        <v>101</v>
      </c>
      <c r="C35" s="2">
        <v>22</v>
      </c>
      <c r="D35" s="2" t="s">
        <v>12</v>
      </c>
      <c r="E35" s="2" t="s">
        <v>13</v>
      </c>
      <c r="F35" s="3">
        <v>45699</v>
      </c>
      <c r="G35" s="3">
        <v>45740</v>
      </c>
      <c r="H35" s="2">
        <v>800</v>
      </c>
      <c r="I35" s="2">
        <v>30</v>
      </c>
      <c r="J35" s="2" t="s">
        <v>35</v>
      </c>
      <c r="K35" s="4"/>
      <c r="L35" s="5">
        <f>ROUNDDOWN((Table1345[[#This Row],[End_Date]]-Table1345[[#This Row],[Start_Date]])/30,0)</f>
        <v>1</v>
      </c>
      <c r="M35" s="6" t="str">
        <f>IF(Table1345[[#This Row],[Referred_By]]&lt;&gt;"","YES","NO")</f>
        <v>NO</v>
      </c>
      <c r="N35" s="11">
        <f>Table1345[[#This Row],[Monthly_Fee]]*Table1345[[#This Row],[Membership_Duration_Months]]</f>
        <v>800</v>
      </c>
    </row>
    <row r="36" spans="1:14" ht="15.75" customHeight="1" x14ac:dyDescent="0.25">
      <c r="A36" s="2" t="s">
        <v>105</v>
      </c>
      <c r="B36" s="2" t="s">
        <v>106</v>
      </c>
      <c r="C36" s="2">
        <v>27</v>
      </c>
      <c r="D36" s="2" t="s">
        <v>27</v>
      </c>
      <c r="E36" s="2" t="s">
        <v>22</v>
      </c>
      <c r="F36" s="3">
        <v>45312</v>
      </c>
      <c r="G36" s="3">
        <v>45652</v>
      </c>
      <c r="H36" s="2">
        <v>1200</v>
      </c>
      <c r="I36" s="2">
        <v>27</v>
      </c>
      <c r="J36" s="2" t="s">
        <v>18</v>
      </c>
      <c r="K36" s="4"/>
      <c r="L36" s="5">
        <f>ROUNDDOWN((Table1345[[#This Row],[End_Date]]-Table1345[[#This Row],[Start_Date]])/30,0)</f>
        <v>11</v>
      </c>
      <c r="M36" s="6" t="str">
        <f>IF(Table1345[[#This Row],[Referred_By]]&lt;&gt;"","YES","NO")</f>
        <v>NO</v>
      </c>
      <c r="N36" s="11">
        <f>Table1345[[#This Row],[Monthly_Fee]]*Table1345[[#This Row],[Membership_Duration_Months]]</f>
        <v>13200</v>
      </c>
    </row>
    <row r="37" spans="1:14" ht="15.75" customHeight="1" x14ac:dyDescent="0.25"/>
    <row r="38" spans="1:14" ht="15.75" customHeight="1" x14ac:dyDescent="0.25"/>
    <row r="39" spans="1:14" ht="15.75" customHeight="1" x14ac:dyDescent="0.25"/>
    <row r="40" spans="1:14" ht="15.75" customHeight="1" x14ac:dyDescent="0.25"/>
    <row r="41" spans="1:14" ht="15.75" customHeight="1" x14ac:dyDescent="0.25"/>
    <row r="42" spans="1:14" ht="15.75" customHeight="1" x14ac:dyDescent="0.25"/>
    <row r="43" spans="1:14" ht="15.75" customHeight="1" x14ac:dyDescent="0.25"/>
    <row r="44" spans="1:14" ht="15.75" customHeight="1" x14ac:dyDescent="0.25"/>
    <row r="45" spans="1:14" ht="15.75" customHeight="1" x14ac:dyDescent="0.25"/>
    <row r="46" spans="1:14" ht="15.75" customHeight="1" x14ac:dyDescent="0.25"/>
    <row r="47" spans="1:14" ht="15.75" customHeight="1" x14ac:dyDescent="0.25"/>
    <row r="48" spans="1: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6A37-0C78-493C-8527-2F8BE243E81A}">
  <dimension ref="A3:H7"/>
  <sheetViews>
    <sheetView workbookViewId="0">
      <selection activeCell="N11" sqref="N11"/>
    </sheetView>
  </sheetViews>
  <sheetFormatPr defaultRowHeight="15" x14ac:dyDescent="0.25"/>
  <cols>
    <col min="1" max="1" width="21.140625" bestFit="1" customWidth="1"/>
    <col min="2" max="2" width="18.5703125" bestFit="1" customWidth="1"/>
    <col min="3" max="3" width="6" bestFit="1" customWidth="1"/>
    <col min="4" max="4" width="10.5703125" bestFit="1" customWidth="1"/>
    <col min="5" max="5" width="7.5703125" bestFit="1" customWidth="1"/>
    <col min="6" max="6" width="8.42578125" bestFit="1" customWidth="1"/>
    <col min="7" max="7" width="5.5703125" bestFit="1" customWidth="1"/>
    <col min="8" max="8" width="11.28515625" bestFit="1" customWidth="1"/>
  </cols>
  <sheetData>
    <row r="3" spans="1:8" x14ac:dyDescent="0.25">
      <c r="A3" s="12" t="s">
        <v>117</v>
      </c>
      <c r="B3" s="12" t="s">
        <v>116</v>
      </c>
      <c r="C3" s="13"/>
      <c r="D3" s="13"/>
      <c r="E3" s="13"/>
      <c r="F3" s="13"/>
      <c r="G3" s="13"/>
      <c r="H3" s="13"/>
    </row>
    <row r="4" spans="1:8" x14ac:dyDescent="0.25">
      <c r="A4" s="12" t="s">
        <v>110</v>
      </c>
      <c r="B4" s="13" t="s">
        <v>14</v>
      </c>
      <c r="C4" s="13" t="s">
        <v>67</v>
      </c>
      <c r="D4" s="13" t="s">
        <v>23</v>
      </c>
      <c r="E4" s="13" t="s">
        <v>42</v>
      </c>
      <c r="F4" s="13" t="s">
        <v>35</v>
      </c>
      <c r="G4" s="13" t="s">
        <v>18</v>
      </c>
      <c r="H4" s="13" t="s">
        <v>111</v>
      </c>
    </row>
    <row r="5" spans="1:8" x14ac:dyDescent="0.25">
      <c r="A5" s="13" t="s">
        <v>31</v>
      </c>
      <c r="B5" s="14">
        <v>17500</v>
      </c>
      <c r="C5" s="14">
        <v>35000</v>
      </c>
      <c r="D5" s="14">
        <v>0</v>
      </c>
      <c r="E5" s="14">
        <v>7500</v>
      </c>
      <c r="F5" s="14">
        <v>15000</v>
      </c>
      <c r="G5" s="14"/>
      <c r="H5" s="14">
        <v>75000</v>
      </c>
    </row>
    <row r="6" spans="1:8" x14ac:dyDescent="0.25">
      <c r="A6" s="13" t="s">
        <v>41</v>
      </c>
      <c r="B6" s="14">
        <v>16200</v>
      </c>
      <c r="C6" s="14">
        <v>0</v>
      </c>
      <c r="D6" s="14"/>
      <c r="E6" s="14">
        <v>9000</v>
      </c>
      <c r="F6" s="14">
        <v>34200</v>
      </c>
      <c r="G6" s="14">
        <v>7200</v>
      </c>
      <c r="H6" s="14">
        <v>66600</v>
      </c>
    </row>
    <row r="7" spans="1:8" x14ac:dyDescent="0.25">
      <c r="A7" s="13" t="s">
        <v>111</v>
      </c>
      <c r="B7" s="14">
        <v>33700</v>
      </c>
      <c r="C7" s="14">
        <v>35000</v>
      </c>
      <c r="D7" s="14">
        <v>0</v>
      </c>
      <c r="E7" s="14">
        <v>16500</v>
      </c>
      <c r="F7" s="14">
        <v>49200</v>
      </c>
      <c r="G7" s="14">
        <v>7200</v>
      </c>
      <c r="H7" s="14">
        <v>141600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35E75-D493-4AAA-B13C-D3838E31476E}">
  <dimension ref="A1:M36"/>
  <sheetViews>
    <sheetView workbookViewId="0">
      <selection activeCell="P24" sqref="P24"/>
    </sheetView>
  </sheetViews>
  <sheetFormatPr defaultRowHeight="15" x14ac:dyDescent="0.25"/>
  <cols>
    <col min="1" max="1" width="11.140625" bestFit="1" customWidth="1"/>
    <col min="2" max="2" width="16.140625" bestFit="1" customWidth="1"/>
    <col min="3" max="3" width="6.7109375" bestFit="1" customWidth="1"/>
    <col min="4" max="4" width="10" bestFit="1" customWidth="1"/>
    <col min="5" max="5" width="20.28515625" bestFit="1" customWidth="1"/>
    <col min="6" max="6" width="12.5703125" bestFit="1" customWidth="1"/>
    <col min="7" max="7" width="11.7109375" bestFit="1" customWidth="1"/>
    <col min="8" max="8" width="15.140625" bestFit="1" customWidth="1"/>
    <col min="9" max="9" width="13.5703125" bestFit="1" customWidth="1"/>
    <col min="10" max="10" width="10.5703125" bestFit="1" customWidth="1"/>
    <col min="11" max="11" width="19" bestFit="1" customWidth="1"/>
    <col min="12" max="12" width="32" bestFit="1" customWidth="1"/>
    <col min="13" max="13" width="11.140625" bestFit="1" customWidth="1"/>
  </cols>
  <sheetData>
    <row r="1" spans="1:13" x14ac:dyDescent="0.25">
      <c r="A1" s="1" t="s">
        <v>107</v>
      </c>
      <c r="B1" s="1" t="s">
        <v>0</v>
      </c>
      <c r="C1" s="1" t="s">
        <v>1</v>
      </c>
      <c r="D1" s="1" t="s">
        <v>2</v>
      </c>
      <c r="E1" s="1" t="s">
        <v>3</v>
      </c>
      <c r="F1" s="1" t="s">
        <v>4</v>
      </c>
      <c r="G1" s="1" t="s">
        <v>5</v>
      </c>
      <c r="H1" s="1" t="s">
        <v>6</v>
      </c>
      <c r="I1" s="1" t="s">
        <v>7</v>
      </c>
      <c r="J1" s="1" t="s">
        <v>8</v>
      </c>
      <c r="K1" s="1" t="s">
        <v>9</v>
      </c>
      <c r="L1" s="1" t="s">
        <v>108</v>
      </c>
      <c r="M1" s="7" t="s">
        <v>109</v>
      </c>
    </row>
    <row r="2" spans="1:13" x14ac:dyDescent="0.25">
      <c r="A2" s="2" t="s">
        <v>10</v>
      </c>
      <c r="B2" s="2" t="s">
        <v>11</v>
      </c>
      <c r="C2" s="2">
        <v>59</v>
      </c>
      <c r="D2" s="2" t="s">
        <v>12</v>
      </c>
      <c r="E2" s="2" t="s">
        <v>13</v>
      </c>
      <c r="F2" s="3">
        <v>45235</v>
      </c>
      <c r="G2" s="3">
        <v>45425</v>
      </c>
      <c r="H2" s="2">
        <v>800</v>
      </c>
      <c r="I2" s="2">
        <v>25</v>
      </c>
      <c r="J2" s="2" t="s">
        <v>14</v>
      </c>
      <c r="K2" s="2" t="s">
        <v>15</v>
      </c>
      <c r="L2" s="15">
        <f>ROUNDDOWN((Table1346[[#This Row],[End_Date]]-Table1346[[#This Row],[Start_Date]])/30,0)</f>
        <v>6</v>
      </c>
      <c r="M2" s="6" t="str">
        <f>IF(Table1346[[#This Row],[Referred_By]]&lt;&gt;"","YES","NO")</f>
        <v>YES</v>
      </c>
    </row>
    <row r="3" spans="1:13" x14ac:dyDescent="0.25">
      <c r="A3" s="2" t="s">
        <v>16</v>
      </c>
      <c r="B3" s="2" t="s">
        <v>17</v>
      </c>
      <c r="C3" s="2">
        <v>27</v>
      </c>
      <c r="D3" s="2" t="s">
        <v>12</v>
      </c>
      <c r="E3" s="2" t="s">
        <v>13</v>
      </c>
      <c r="F3" s="3">
        <v>45714</v>
      </c>
      <c r="G3" s="3">
        <v>45740</v>
      </c>
      <c r="H3" s="2">
        <v>800</v>
      </c>
      <c r="I3" s="2">
        <v>20</v>
      </c>
      <c r="J3" s="2" t="s">
        <v>18</v>
      </c>
      <c r="K3" s="2" t="s">
        <v>19</v>
      </c>
      <c r="L3" s="15">
        <f>ROUNDDOWN((Table1346[[#This Row],[End_Date]]-Table1346[[#This Row],[Start_Date]])/30,0)</f>
        <v>0</v>
      </c>
      <c r="M3" s="6" t="str">
        <f>IF(Table1346[[#This Row],[Referred_By]]&lt;&gt;"","YES","NO")</f>
        <v>YES</v>
      </c>
    </row>
    <row r="4" spans="1:13" x14ac:dyDescent="0.25">
      <c r="A4" s="2" t="s">
        <v>20</v>
      </c>
      <c r="B4" s="2" t="s">
        <v>21</v>
      </c>
      <c r="C4" s="2">
        <v>24</v>
      </c>
      <c r="D4" s="2" t="s">
        <v>12</v>
      </c>
      <c r="E4" s="2" t="s">
        <v>22</v>
      </c>
      <c r="F4" s="3">
        <v>45191</v>
      </c>
      <c r="G4" s="3">
        <v>45371</v>
      </c>
      <c r="H4" s="2">
        <v>1200</v>
      </c>
      <c r="I4" s="2">
        <v>18</v>
      </c>
      <c r="J4" s="2" t="s">
        <v>23</v>
      </c>
      <c r="K4" s="2" t="s">
        <v>24</v>
      </c>
      <c r="L4" s="15">
        <f>ROUNDDOWN((Table1346[[#This Row],[End_Date]]-Table1346[[#This Row],[Start_Date]])/30,0)</f>
        <v>6</v>
      </c>
      <c r="M4" s="6" t="str">
        <f>IF(Table1346[[#This Row],[Referred_By]]&lt;&gt;"","YES","NO")</f>
        <v>YES</v>
      </c>
    </row>
    <row r="5" spans="1:13" x14ac:dyDescent="0.25">
      <c r="A5" s="2" t="s">
        <v>25</v>
      </c>
      <c r="B5" s="2" t="s">
        <v>26</v>
      </c>
      <c r="C5" s="2">
        <v>31</v>
      </c>
      <c r="D5" s="2" t="s">
        <v>27</v>
      </c>
      <c r="E5" s="2" t="s">
        <v>22</v>
      </c>
      <c r="F5" s="3">
        <v>45479</v>
      </c>
      <c r="G5" s="3">
        <v>45587</v>
      </c>
      <c r="H5" s="2">
        <v>1200</v>
      </c>
      <c r="I5" s="2">
        <v>16</v>
      </c>
      <c r="J5" s="2" t="s">
        <v>23</v>
      </c>
      <c r="K5" s="2" t="s">
        <v>28</v>
      </c>
      <c r="L5" s="15">
        <f>ROUNDDOWN((Table1346[[#This Row],[End_Date]]-Table1346[[#This Row],[Start_Date]])/30,0)</f>
        <v>3</v>
      </c>
      <c r="M5" s="6" t="str">
        <f>IF(Table1346[[#This Row],[Referred_By]]&lt;&gt;"","YES","NO")</f>
        <v>YES</v>
      </c>
    </row>
    <row r="6" spans="1:13" x14ac:dyDescent="0.25">
      <c r="A6" s="2" t="s">
        <v>29</v>
      </c>
      <c r="B6" s="2" t="s">
        <v>30</v>
      </c>
      <c r="C6" s="2">
        <v>19</v>
      </c>
      <c r="D6" s="2" t="s">
        <v>12</v>
      </c>
      <c r="E6" s="2" t="s">
        <v>31</v>
      </c>
      <c r="F6" s="3">
        <v>45286</v>
      </c>
      <c r="G6" s="3">
        <v>45501</v>
      </c>
      <c r="H6" s="2">
        <v>2500</v>
      </c>
      <c r="I6" s="2">
        <v>12</v>
      </c>
      <c r="J6" s="2" t="s">
        <v>14</v>
      </c>
      <c r="K6" s="2" t="s">
        <v>32</v>
      </c>
      <c r="L6" s="15">
        <f>ROUNDDOWN((Table1346[[#This Row],[End_Date]]-Table1346[[#This Row],[Start_Date]])/30,0)</f>
        <v>7</v>
      </c>
      <c r="M6" s="6" t="str">
        <f>IF(Table1346[[#This Row],[Referred_By]]&lt;&gt;"","YES","NO")</f>
        <v>YES</v>
      </c>
    </row>
    <row r="7" spans="1:13" x14ac:dyDescent="0.25">
      <c r="A7" s="2" t="s">
        <v>33</v>
      </c>
      <c r="B7" s="2" t="s">
        <v>34</v>
      </c>
      <c r="C7" s="2">
        <v>40</v>
      </c>
      <c r="D7" s="2" t="s">
        <v>12</v>
      </c>
      <c r="E7" s="2" t="s">
        <v>13</v>
      </c>
      <c r="F7" s="3">
        <v>45317</v>
      </c>
      <c r="G7" s="3">
        <v>45392</v>
      </c>
      <c r="H7" s="2">
        <v>800</v>
      </c>
      <c r="I7" s="2">
        <v>14</v>
      </c>
      <c r="J7" s="2" t="s">
        <v>35</v>
      </c>
      <c r="K7" s="2" t="s">
        <v>36</v>
      </c>
      <c r="L7" s="15">
        <f>ROUNDDOWN((Table1346[[#This Row],[End_Date]]-Table1346[[#This Row],[Start_Date]])/30,0)</f>
        <v>2</v>
      </c>
      <c r="M7" s="6" t="str">
        <f>IF(Table1346[[#This Row],[Referred_By]]&lt;&gt;"","YES","NO")</f>
        <v>YES</v>
      </c>
    </row>
    <row r="8" spans="1:13" x14ac:dyDescent="0.25">
      <c r="A8" s="2" t="s">
        <v>43</v>
      </c>
      <c r="B8" s="2" t="s">
        <v>44</v>
      </c>
      <c r="C8" s="2">
        <v>42</v>
      </c>
      <c r="D8" s="2" t="s">
        <v>12</v>
      </c>
      <c r="E8" s="2" t="s">
        <v>13</v>
      </c>
      <c r="F8" s="3">
        <v>45569</v>
      </c>
      <c r="G8" s="3">
        <v>45582</v>
      </c>
      <c r="H8" s="2">
        <v>800</v>
      </c>
      <c r="I8" s="2">
        <v>3</v>
      </c>
      <c r="J8" s="2" t="s">
        <v>42</v>
      </c>
      <c r="K8" s="2" t="s">
        <v>45</v>
      </c>
      <c r="L8" s="15">
        <f>ROUNDDOWN((Table1346[[#This Row],[End_Date]]-Table1346[[#This Row],[Start_Date]])/30,0)</f>
        <v>0</v>
      </c>
      <c r="M8" s="6" t="str">
        <f>IF(Table1346[[#This Row],[Referred_By]]&lt;&gt;"","YES","NO")</f>
        <v>YES</v>
      </c>
    </row>
    <row r="9" spans="1:13" x14ac:dyDescent="0.25">
      <c r="A9" s="2" t="s">
        <v>46</v>
      </c>
      <c r="B9" s="2" t="s">
        <v>47</v>
      </c>
      <c r="C9" s="2">
        <v>37</v>
      </c>
      <c r="D9" s="2" t="s">
        <v>12</v>
      </c>
      <c r="E9" s="2" t="s">
        <v>22</v>
      </c>
      <c r="F9" s="3">
        <v>45202</v>
      </c>
      <c r="G9" s="3">
        <v>45280</v>
      </c>
      <c r="H9" s="2">
        <v>1200</v>
      </c>
      <c r="I9" s="2">
        <v>29</v>
      </c>
      <c r="J9" s="2" t="s">
        <v>35</v>
      </c>
      <c r="K9" s="2" t="s">
        <v>48</v>
      </c>
      <c r="L9" s="15">
        <f>ROUNDDOWN((Table1346[[#This Row],[End_Date]]-Table1346[[#This Row],[Start_Date]])/30,0)</f>
        <v>2</v>
      </c>
      <c r="M9" s="6" t="str">
        <f>IF(Table1346[[#This Row],[Referred_By]]&lt;&gt;"","YES","NO")</f>
        <v>YES</v>
      </c>
    </row>
    <row r="10" spans="1:13" x14ac:dyDescent="0.25">
      <c r="A10" s="2" t="s">
        <v>49</v>
      </c>
      <c r="B10" s="2" t="s">
        <v>50</v>
      </c>
      <c r="C10" s="2">
        <v>48</v>
      </c>
      <c r="D10" s="2" t="s">
        <v>27</v>
      </c>
      <c r="E10" s="2" t="s">
        <v>22</v>
      </c>
      <c r="F10" s="3">
        <v>45297</v>
      </c>
      <c r="G10" s="3">
        <v>45459</v>
      </c>
      <c r="H10" s="2">
        <v>1200</v>
      </c>
      <c r="I10" s="2">
        <v>13</v>
      </c>
      <c r="J10" s="2" t="s">
        <v>14</v>
      </c>
      <c r="K10" s="2" t="s">
        <v>51</v>
      </c>
      <c r="L10" s="15">
        <f>ROUNDDOWN((Table1346[[#This Row],[End_Date]]-Table1346[[#This Row],[Start_Date]])/30,0)</f>
        <v>5</v>
      </c>
      <c r="M10" s="6" t="str">
        <f>IF(Table1346[[#This Row],[Referred_By]]&lt;&gt;"","YES","NO")</f>
        <v>YES</v>
      </c>
    </row>
    <row r="11" spans="1:13" x14ac:dyDescent="0.25">
      <c r="A11" s="2" t="s">
        <v>52</v>
      </c>
      <c r="B11" s="2" t="s">
        <v>53</v>
      </c>
      <c r="C11" s="2">
        <v>36</v>
      </c>
      <c r="D11" s="2" t="s">
        <v>12</v>
      </c>
      <c r="E11" s="2" t="s">
        <v>22</v>
      </c>
      <c r="F11" s="3">
        <v>45154</v>
      </c>
      <c r="G11" s="3">
        <v>45568</v>
      </c>
      <c r="H11" s="2">
        <v>1200</v>
      </c>
      <c r="I11" s="2">
        <v>19</v>
      </c>
      <c r="J11" s="2" t="s">
        <v>42</v>
      </c>
      <c r="K11" s="2" t="s">
        <v>54</v>
      </c>
      <c r="L11" s="15">
        <f>ROUNDDOWN((Table1346[[#This Row],[End_Date]]-Table1346[[#This Row],[Start_Date]])/30,0)</f>
        <v>13</v>
      </c>
      <c r="M11" s="6" t="str">
        <f>IF(Table1346[[#This Row],[Referred_By]]&lt;&gt;"","YES","NO")</f>
        <v>YES</v>
      </c>
    </row>
    <row r="12" spans="1:13" x14ac:dyDescent="0.25">
      <c r="A12" s="2" t="s">
        <v>70</v>
      </c>
      <c r="B12" s="2" t="s">
        <v>71</v>
      </c>
      <c r="C12" s="2">
        <v>28</v>
      </c>
      <c r="D12" s="2" t="s">
        <v>12</v>
      </c>
      <c r="E12" s="2" t="s">
        <v>31</v>
      </c>
      <c r="F12" s="3">
        <v>45417</v>
      </c>
      <c r="G12" s="3">
        <v>45608</v>
      </c>
      <c r="H12" s="2">
        <v>2500</v>
      </c>
      <c r="I12" s="2">
        <v>21</v>
      </c>
      <c r="J12" s="2" t="s">
        <v>35</v>
      </c>
      <c r="K12" s="2" t="s">
        <v>72</v>
      </c>
      <c r="L12" s="15">
        <f>ROUNDDOWN((Table1346[[#This Row],[End_Date]]-Table1346[[#This Row],[Start_Date]])/30,0)</f>
        <v>6</v>
      </c>
      <c r="M12" s="6" t="str">
        <f>IF(Table1346[[#This Row],[Referred_By]]&lt;&gt;"","YES","NO")</f>
        <v>YES</v>
      </c>
    </row>
    <row r="13" spans="1:13" x14ac:dyDescent="0.25">
      <c r="A13" s="2" t="s">
        <v>81</v>
      </c>
      <c r="B13" s="2" t="s">
        <v>82</v>
      </c>
      <c r="C13" s="2">
        <v>53</v>
      </c>
      <c r="D13" s="2" t="s">
        <v>12</v>
      </c>
      <c r="E13" s="2" t="s">
        <v>41</v>
      </c>
      <c r="F13" s="3">
        <v>45286</v>
      </c>
      <c r="G13" s="3">
        <v>45372</v>
      </c>
      <c r="H13" s="2">
        <v>1800</v>
      </c>
      <c r="I13" s="2">
        <v>17</v>
      </c>
      <c r="J13" s="2" t="s">
        <v>35</v>
      </c>
      <c r="K13" s="2" t="s">
        <v>83</v>
      </c>
      <c r="L13" s="15">
        <f>ROUNDDOWN((Table1346[[#This Row],[End_Date]]-Table1346[[#This Row],[Start_Date]])/30,0)</f>
        <v>2</v>
      </c>
      <c r="M13" s="6" t="str">
        <f>IF(Table1346[[#This Row],[Referred_By]]&lt;&gt;"","YES","NO")</f>
        <v>YES</v>
      </c>
    </row>
    <row r="14" spans="1:13" x14ac:dyDescent="0.25">
      <c r="A14" s="2" t="s">
        <v>92</v>
      </c>
      <c r="B14" s="2" t="s">
        <v>93</v>
      </c>
      <c r="C14" s="2">
        <v>31</v>
      </c>
      <c r="D14" s="2" t="s">
        <v>27</v>
      </c>
      <c r="E14" s="2" t="s">
        <v>31</v>
      </c>
      <c r="F14" s="3">
        <v>45667</v>
      </c>
      <c r="G14" s="3">
        <v>45745</v>
      </c>
      <c r="H14" s="2">
        <v>2500</v>
      </c>
      <c r="I14" s="2">
        <v>23</v>
      </c>
      <c r="J14" s="2" t="s">
        <v>42</v>
      </c>
      <c r="K14" s="2" t="s">
        <v>94</v>
      </c>
      <c r="L14" s="15">
        <f>ROUNDDOWN((Table1346[[#This Row],[End_Date]]-Table1346[[#This Row],[Start_Date]])/30,0)</f>
        <v>2</v>
      </c>
      <c r="M14" s="6" t="str">
        <f>IF(Table1346[[#This Row],[Referred_By]]&lt;&gt;"","YES","NO")</f>
        <v>YES</v>
      </c>
    </row>
    <row r="15" spans="1:13" x14ac:dyDescent="0.25">
      <c r="A15" s="2" t="s">
        <v>95</v>
      </c>
      <c r="B15" s="2" t="s">
        <v>96</v>
      </c>
      <c r="C15" s="2">
        <v>52</v>
      </c>
      <c r="D15" s="2" t="s">
        <v>27</v>
      </c>
      <c r="E15" s="2" t="s">
        <v>13</v>
      </c>
      <c r="F15" s="3">
        <v>45088</v>
      </c>
      <c r="G15" s="3">
        <v>45656</v>
      </c>
      <c r="H15" s="2">
        <v>800</v>
      </c>
      <c r="I15" s="2">
        <v>9</v>
      </c>
      <c r="J15" s="2" t="s">
        <v>67</v>
      </c>
      <c r="K15" s="2" t="s">
        <v>97</v>
      </c>
      <c r="L15" s="15">
        <f>ROUNDDOWN((Table1346[[#This Row],[End_Date]]-Table1346[[#This Row],[Start_Date]])/30,0)</f>
        <v>18</v>
      </c>
      <c r="M15" s="6" t="str">
        <f>IF(Table1346[[#This Row],[Referred_By]]&lt;&gt;"","YES","NO")</f>
        <v>YES</v>
      </c>
    </row>
    <row r="16" spans="1:13" x14ac:dyDescent="0.25">
      <c r="A16" s="2" t="s">
        <v>102</v>
      </c>
      <c r="B16" s="2" t="s">
        <v>103</v>
      </c>
      <c r="C16" s="2">
        <v>23</v>
      </c>
      <c r="D16" s="2" t="s">
        <v>12</v>
      </c>
      <c r="E16" s="2" t="s">
        <v>41</v>
      </c>
      <c r="F16" s="3">
        <v>45588</v>
      </c>
      <c r="G16" s="3">
        <v>45721</v>
      </c>
      <c r="H16" s="2">
        <v>1800</v>
      </c>
      <c r="I16" s="2">
        <v>23</v>
      </c>
      <c r="J16" s="2" t="s">
        <v>18</v>
      </c>
      <c r="K16" s="2" t="s">
        <v>104</v>
      </c>
      <c r="L16" s="15">
        <f>ROUNDDOWN((Table1346[[#This Row],[End_Date]]-Table1346[[#This Row],[Start_Date]])/30,0)</f>
        <v>4</v>
      </c>
      <c r="M16" s="6" t="str">
        <f>IF(Table1346[[#This Row],[Referred_By]]&lt;&gt;"","YES","NO")</f>
        <v>YES</v>
      </c>
    </row>
    <row r="17" spans="1:13" x14ac:dyDescent="0.25">
      <c r="A17" s="2" t="s">
        <v>37</v>
      </c>
      <c r="B17" s="2" t="s">
        <v>38</v>
      </c>
      <c r="C17" s="2">
        <v>41</v>
      </c>
      <c r="D17" s="2" t="s">
        <v>27</v>
      </c>
      <c r="E17" s="2" t="s">
        <v>13</v>
      </c>
      <c r="F17" s="3">
        <v>45588</v>
      </c>
      <c r="G17" s="3">
        <v>45677</v>
      </c>
      <c r="H17" s="2">
        <v>800</v>
      </c>
      <c r="I17" s="2">
        <v>25</v>
      </c>
      <c r="J17" s="2" t="s">
        <v>18</v>
      </c>
      <c r="K17" s="4"/>
      <c r="L17" s="15">
        <f>ROUNDDOWN((Table1346[[#This Row],[End_Date]]-Table1346[[#This Row],[Start_Date]])/30,0)</f>
        <v>2</v>
      </c>
      <c r="M17" s="6" t="str">
        <f>IF(Table1346[[#This Row],[Referred_By]]&lt;&gt;"","YES","NO")</f>
        <v>NO</v>
      </c>
    </row>
    <row r="18" spans="1:13" x14ac:dyDescent="0.25">
      <c r="A18" s="2" t="s">
        <v>39</v>
      </c>
      <c r="B18" s="2" t="s">
        <v>40</v>
      </c>
      <c r="C18" s="2">
        <v>43</v>
      </c>
      <c r="D18" s="2" t="s">
        <v>12</v>
      </c>
      <c r="E18" s="2" t="s">
        <v>41</v>
      </c>
      <c r="F18" s="3">
        <v>45450</v>
      </c>
      <c r="G18" s="3">
        <v>45563</v>
      </c>
      <c r="H18" s="2">
        <v>1800</v>
      </c>
      <c r="I18" s="2">
        <v>28</v>
      </c>
      <c r="J18" s="2" t="s">
        <v>42</v>
      </c>
      <c r="K18" s="4"/>
      <c r="L18" s="15">
        <f>ROUNDDOWN((Table1346[[#This Row],[End_Date]]-Table1346[[#This Row],[Start_Date]])/30,0)</f>
        <v>3</v>
      </c>
      <c r="M18" s="6" t="str">
        <f>IF(Table1346[[#This Row],[Referred_By]]&lt;&gt;"","YES","NO")</f>
        <v>NO</v>
      </c>
    </row>
    <row r="19" spans="1:13" x14ac:dyDescent="0.25">
      <c r="A19" s="2" t="s">
        <v>55</v>
      </c>
      <c r="B19" s="2" t="s">
        <v>56</v>
      </c>
      <c r="C19" s="2">
        <v>48</v>
      </c>
      <c r="D19" s="2" t="s">
        <v>27</v>
      </c>
      <c r="E19" s="2" t="s">
        <v>41</v>
      </c>
      <c r="F19" s="3">
        <v>45556</v>
      </c>
      <c r="G19" s="3">
        <v>45641</v>
      </c>
      <c r="H19" s="2">
        <v>1800</v>
      </c>
      <c r="I19" s="2">
        <v>22</v>
      </c>
      <c r="J19" s="2" t="s">
        <v>42</v>
      </c>
      <c r="K19" s="4"/>
      <c r="L19" s="15">
        <f>ROUNDDOWN((Table1346[[#This Row],[End_Date]]-Table1346[[#This Row],[Start_Date]])/30,0)</f>
        <v>2</v>
      </c>
      <c r="M19" s="6" t="str">
        <f>IF(Table1346[[#This Row],[Referred_By]]&lt;&gt;"","YES","NO")</f>
        <v>NO</v>
      </c>
    </row>
    <row r="20" spans="1:13" x14ac:dyDescent="0.25">
      <c r="A20" s="2" t="s">
        <v>57</v>
      </c>
      <c r="B20" s="2" t="s">
        <v>58</v>
      </c>
      <c r="C20" s="2">
        <v>39</v>
      </c>
      <c r="D20" s="2" t="s">
        <v>12</v>
      </c>
      <c r="E20" s="2" t="s">
        <v>22</v>
      </c>
      <c r="F20" s="3">
        <v>45065</v>
      </c>
      <c r="G20" s="3">
        <v>45242</v>
      </c>
      <c r="H20" s="2">
        <v>1200</v>
      </c>
      <c r="I20" s="2">
        <v>28</v>
      </c>
      <c r="J20" s="2" t="s">
        <v>35</v>
      </c>
      <c r="K20" s="4"/>
      <c r="L20" s="15">
        <f>ROUNDDOWN((Table1346[[#This Row],[End_Date]]-Table1346[[#This Row],[Start_Date]])/30,0)</f>
        <v>5</v>
      </c>
      <c r="M20" s="6" t="str">
        <f>IF(Table1346[[#This Row],[Referred_By]]&lt;&gt;"","YES","NO")</f>
        <v>NO</v>
      </c>
    </row>
    <row r="21" spans="1:13" x14ac:dyDescent="0.25">
      <c r="A21" s="2" t="s">
        <v>59</v>
      </c>
      <c r="B21" s="2" t="s">
        <v>60</v>
      </c>
      <c r="C21" s="2">
        <v>44</v>
      </c>
      <c r="D21" s="2" t="s">
        <v>27</v>
      </c>
      <c r="E21" s="2" t="s">
        <v>13</v>
      </c>
      <c r="F21" s="3">
        <v>45333</v>
      </c>
      <c r="G21" s="3">
        <v>45540</v>
      </c>
      <c r="H21" s="2">
        <v>800</v>
      </c>
      <c r="I21" s="2">
        <v>8</v>
      </c>
      <c r="J21" s="2" t="s">
        <v>23</v>
      </c>
      <c r="K21" s="4"/>
      <c r="L21" s="15">
        <f>ROUNDDOWN((Table1346[[#This Row],[End_Date]]-Table1346[[#This Row],[Start_Date]])/30,0)</f>
        <v>6</v>
      </c>
      <c r="M21" s="6" t="str">
        <f>IF(Table1346[[#This Row],[Referred_By]]&lt;&gt;"","YES","NO")</f>
        <v>NO</v>
      </c>
    </row>
    <row r="22" spans="1:13" x14ac:dyDescent="0.25">
      <c r="A22" s="2" t="s">
        <v>61</v>
      </c>
      <c r="B22" s="2" t="s">
        <v>62</v>
      </c>
      <c r="C22" s="2">
        <v>39</v>
      </c>
      <c r="D22" s="2" t="s">
        <v>12</v>
      </c>
      <c r="E22" s="2" t="s">
        <v>31</v>
      </c>
      <c r="F22" s="3">
        <v>45702</v>
      </c>
      <c r="G22" s="3">
        <v>45732</v>
      </c>
      <c r="H22" s="2">
        <v>2500</v>
      </c>
      <c r="I22" s="2">
        <v>14</v>
      </c>
      <c r="J22" s="2" t="s">
        <v>42</v>
      </c>
      <c r="K22" s="4"/>
      <c r="L22" s="15">
        <f>ROUNDDOWN((Table1346[[#This Row],[End_Date]]-Table1346[[#This Row],[Start_Date]])/30,0)</f>
        <v>1</v>
      </c>
      <c r="M22" s="6" t="str">
        <f>IF(Table1346[[#This Row],[Referred_By]]&lt;&gt;"","YES","NO")</f>
        <v>NO</v>
      </c>
    </row>
    <row r="23" spans="1:13" x14ac:dyDescent="0.25">
      <c r="A23" s="2" t="s">
        <v>63</v>
      </c>
      <c r="B23" s="2" t="s">
        <v>64</v>
      </c>
      <c r="C23" s="2">
        <v>35</v>
      </c>
      <c r="D23" s="2" t="s">
        <v>12</v>
      </c>
      <c r="E23" s="2" t="s">
        <v>22</v>
      </c>
      <c r="F23" s="3">
        <v>45329</v>
      </c>
      <c r="G23" s="3">
        <v>45685</v>
      </c>
      <c r="H23" s="2">
        <v>1200</v>
      </c>
      <c r="I23" s="2">
        <v>25</v>
      </c>
      <c r="J23" s="2" t="s">
        <v>23</v>
      </c>
      <c r="K23" s="4"/>
      <c r="L23" s="15">
        <f>ROUNDDOWN((Table1346[[#This Row],[End_Date]]-Table1346[[#This Row],[Start_Date]])/30,0)</f>
        <v>11</v>
      </c>
      <c r="M23" s="6" t="str">
        <f>IF(Table1346[[#This Row],[Referred_By]]&lt;&gt;"","YES","NO")</f>
        <v>NO</v>
      </c>
    </row>
    <row r="24" spans="1:13" x14ac:dyDescent="0.25">
      <c r="A24" s="2" t="s">
        <v>65</v>
      </c>
      <c r="B24" s="2" t="s">
        <v>66</v>
      </c>
      <c r="C24" s="2">
        <v>56</v>
      </c>
      <c r="D24" s="2" t="s">
        <v>27</v>
      </c>
      <c r="E24" s="2" t="s">
        <v>31</v>
      </c>
      <c r="F24" s="3">
        <v>45213</v>
      </c>
      <c r="G24" s="3">
        <v>45649</v>
      </c>
      <c r="H24" s="2">
        <v>2500</v>
      </c>
      <c r="I24" s="2">
        <v>13</v>
      </c>
      <c r="J24" s="2" t="s">
        <v>67</v>
      </c>
      <c r="K24" s="4"/>
      <c r="L24" s="15">
        <f>ROUNDDOWN((Table1346[[#This Row],[End_Date]]-Table1346[[#This Row],[Start_Date]])/30,0)</f>
        <v>14</v>
      </c>
      <c r="M24" s="6" t="str">
        <f>IF(Table1346[[#This Row],[Referred_By]]&lt;&gt;"","YES","NO")</f>
        <v>NO</v>
      </c>
    </row>
    <row r="25" spans="1:13" x14ac:dyDescent="0.25">
      <c r="A25" s="2" t="s">
        <v>68</v>
      </c>
      <c r="B25" s="2" t="s">
        <v>69</v>
      </c>
      <c r="C25" s="2">
        <v>27</v>
      </c>
      <c r="D25" s="2" t="s">
        <v>27</v>
      </c>
      <c r="E25" s="2" t="s">
        <v>13</v>
      </c>
      <c r="F25" s="3">
        <v>45354</v>
      </c>
      <c r="G25" s="3">
        <v>45664</v>
      </c>
      <c r="H25" s="2">
        <v>800</v>
      </c>
      <c r="I25" s="2">
        <v>26</v>
      </c>
      <c r="J25" s="2" t="s">
        <v>35</v>
      </c>
      <c r="K25" s="4"/>
      <c r="L25" s="15">
        <f>ROUNDDOWN((Table1346[[#This Row],[End_Date]]-Table1346[[#This Row],[Start_Date]])/30,0)</f>
        <v>10</v>
      </c>
      <c r="M25" s="6" t="str">
        <f>IF(Table1346[[#This Row],[Referred_By]]&lt;&gt;"","YES","NO")</f>
        <v>NO</v>
      </c>
    </row>
    <row r="26" spans="1:13" x14ac:dyDescent="0.25">
      <c r="A26" s="2" t="s">
        <v>73</v>
      </c>
      <c r="B26" s="2" t="s">
        <v>74</v>
      </c>
      <c r="C26" s="2">
        <v>57</v>
      </c>
      <c r="D26" s="2" t="s">
        <v>27</v>
      </c>
      <c r="E26" s="2" t="s">
        <v>41</v>
      </c>
      <c r="F26" s="3">
        <v>45146</v>
      </c>
      <c r="G26" s="3">
        <v>45674</v>
      </c>
      <c r="H26" s="2">
        <v>1800</v>
      </c>
      <c r="I26" s="2">
        <v>19</v>
      </c>
      <c r="J26" s="2" t="s">
        <v>35</v>
      </c>
      <c r="K26" s="4"/>
      <c r="L26" s="15">
        <f>ROUNDDOWN((Table1346[[#This Row],[End_Date]]-Table1346[[#This Row],[Start_Date]])/30,0)</f>
        <v>17</v>
      </c>
      <c r="M26" s="6" t="str">
        <f>IF(Table1346[[#This Row],[Referred_By]]&lt;&gt;"","YES","NO")</f>
        <v>NO</v>
      </c>
    </row>
    <row r="27" spans="1:13" x14ac:dyDescent="0.25">
      <c r="A27" s="2" t="s">
        <v>75</v>
      </c>
      <c r="B27" s="2" t="s">
        <v>76</v>
      </c>
      <c r="C27" s="2">
        <v>26</v>
      </c>
      <c r="D27" s="2" t="s">
        <v>27</v>
      </c>
      <c r="E27" s="2" t="s">
        <v>41</v>
      </c>
      <c r="F27" s="3">
        <v>45320</v>
      </c>
      <c r="G27" s="3">
        <v>45616</v>
      </c>
      <c r="H27" s="2">
        <v>1800</v>
      </c>
      <c r="I27" s="2">
        <v>5</v>
      </c>
      <c r="J27" s="2" t="s">
        <v>14</v>
      </c>
      <c r="K27" s="4"/>
      <c r="L27" s="15">
        <f>ROUNDDOWN((Table1346[[#This Row],[End_Date]]-Table1346[[#This Row],[Start_Date]])/30,0)</f>
        <v>9</v>
      </c>
      <c r="M27" s="6" t="str">
        <f>IF(Table1346[[#This Row],[Referred_By]]&lt;&gt;"","YES","NO")</f>
        <v>NO</v>
      </c>
    </row>
    <row r="28" spans="1:13" x14ac:dyDescent="0.25">
      <c r="A28" s="2" t="s">
        <v>77</v>
      </c>
      <c r="B28" s="2" t="s">
        <v>78</v>
      </c>
      <c r="C28" s="2">
        <v>48</v>
      </c>
      <c r="D28" s="2" t="s">
        <v>12</v>
      </c>
      <c r="E28" s="2" t="s">
        <v>41</v>
      </c>
      <c r="F28" s="3">
        <v>45451</v>
      </c>
      <c r="G28" s="3">
        <v>45455</v>
      </c>
      <c r="H28" s="2">
        <v>1800</v>
      </c>
      <c r="I28" s="2">
        <v>18</v>
      </c>
      <c r="J28" s="2" t="s">
        <v>67</v>
      </c>
      <c r="K28" s="4"/>
      <c r="L28" s="15">
        <f>ROUNDDOWN((Table1346[[#This Row],[End_Date]]-Table1346[[#This Row],[Start_Date]])/30,0)</f>
        <v>0</v>
      </c>
      <c r="M28" s="6" t="str">
        <f>IF(Table1346[[#This Row],[Referred_By]]&lt;&gt;"","YES","NO")</f>
        <v>NO</v>
      </c>
    </row>
    <row r="29" spans="1:13" x14ac:dyDescent="0.25">
      <c r="A29" s="2" t="s">
        <v>79</v>
      </c>
      <c r="B29" s="2" t="s">
        <v>80</v>
      </c>
      <c r="C29" s="2">
        <v>25</v>
      </c>
      <c r="D29" s="2" t="s">
        <v>27</v>
      </c>
      <c r="E29" s="2" t="s">
        <v>22</v>
      </c>
      <c r="F29" s="3">
        <v>45439</v>
      </c>
      <c r="G29" s="3">
        <v>45730</v>
      </c>
      <c r="H29" s="2">
        <v>1200</v>
      </c>
      <c r="I29" s="2">
        <v>6</v>
      </c>
      <c r="J29" s="2" t="s">
        <v>14</v>
      </c>
      <c r="K29" s="4"/>
      <c r="L29" s="15">
        <f>ROUNDDOWN((Table1346[[#This Row],[End_Date]]-Table1346[[#This Row],[Start_Date]])/30,0)</f>
        <v>9</v>
      </c>
      <c r="M29" s="6" t="str">
        <f>IF(Table1346[[#This Row],[Referred_By]]&lt;&gt;"","YES","NO")</f>
        <v>NO</v>
      </c>
    </row>
    <row r="30" spans="1:13" x14ac:dyDescent="0.25">
      <c r="A30" s="2" t="s">
        <v>84</v>
      </c>
      <c r="B30" s="2" t="s">
        <v>85</v>
      </c>
      <c r="C30" s="2">
        <v>42</v>
      </c>
      <c r="D30" s="2" t="s">
        <v>27</v>
      </c>
      <c r="E30" s="2" t="s">
        <v>22</v>
      </c>
      <c r="F30" s="3">
        <v>45702</v>
      </c>
      <c r="G30" s="3">
        <v>45727</v>
      </c>
      <c r="H30" s="2">
        <v>1200</v>
      </c>
      <c r="I30" s="2">
        <v>3</v>
      </c>
      <c r="J30" s="2" t="s">
        <v>67</v>
      </c>
      <c r="K30" s="4"/>
      <c r="L30" s="15">
        <f>ROUNDDOWN((Table1346[[#This Row],[End_Date]]-Table1346[[#This Row],[Start_Date]])/30,0)</f>
        <v>0</v>
      </c>
      <c r="M30" s="6" t="str">
        <f>IF(Table1346[[#This Row],[Referred_By]]&lt;&gt;"","YES","NO")</f>
        <v>NO</v>
      </c>
    </row>
    <row r="31" spans="1:13" x14ac:dyDescent="0.25">
      <c r="A31" s="2" t="s">
        <v>86</v>
      </c>
      <c r="B31" s="2" t="s">
        <v>87</v>
      </c>
      <c r="C31" s="2">
        <v>24</v>
      </c>
      <c r="D31" s="2" t="s">
        <v>12</v>
      </c>
      <c r="E31" s="2" t="s">
        <v>31</v>
      </c>
      <c r="F31" s="3">
        <v>45698</v>
      </c>
      <c r="G31" s="3">
        <v>45726</v>
      </c>
      <c r="H31" s="2">
        <v>2500</v>
      </c>
      <c r="I31" s="2">
        <v>28</v>
      </c>
      <c r="J31" s="2" t="s">
        <v>35</v>
      </c>
      <c r="K31" s="4"/>
      <c r="L31" s="15">
        <f>ROUNDDOWN((Table1346[[#This Row],[End_Date]]-Table1346[[#This Row],[Start_Date]])/30,0)</f>
        <v>0</v>
      </c>
      <c r="M31" s="6" t="str">
        <f>IF(Table1346[[#This Row],[Referred_By]]&lt;&gt;"","YES","NO")</f>
        <v>NO</v>
      </c>
    </row>
    <row r="32" spans="1:13" x14ac:dyDescent="0.25">
      <c r="A32" s="2" t="s">
        <v>88</v>
      </c>
      <c r="B32" s="2" t="s">
        <v>89</v>
      </c>
      <c r="C32" s="2">
        <v>53</v>
      </c>
      <c r="D32" s="2" t="s">
        <v>12</v>
      </c>
      <c r="E32" s="2" t="s">
        <v>22</v>
      </c>
      <c r="F32" s="3">
        <v>45614</v>
      </c>
      <c r="G32" s="3">
        <v>45645</v>
      </c>
      <c r="H32" s="2">
        <v>1200</v>
      </c>
      <c r="I32" s="2">
        <v>23</v>
      </c>
      <c r="J32" s="2" t="s">
        <v>18</v>
      </c>
      <c r="K32" s="4"/>
      <c r="L32" s="15">
        <f>ROUNDDOWN((Table1346[[#This Row],[End_Date]]-Table1346[[#This Row],[Start_Date]])/30,0)</f>
        <v>1</v>
      </c>
      <c r="M32" s="6" t="str">
        <f>IF(Table1346[[#This Row],[Referred_By]]&lt;&gt;"","YES","NO")</f>
        <v>NO</v>
      </c>
    </row>
    <row r="33" spans="1:13" x14ac:dyDescent="0.25">
      <c r="A33" s="2" t="s">
        <v>90</v>
      </c>
      <c r="B33" s="2" t="s">
        <v>91</v>
      </c>
      <c r="C33" s="2">
        <v>29</v>
      </c>
      <c r="D33" s="2" t="s">
        <v>27</v>
      </c>
      <c r="E33" s="2" t="s">
        <v>31</v>
      </c>
      <c r="F33" s="3">
        <v>45401</v>
      </c>
      <c r="G33" s="3">
        <v>45408</v>
      </c>
      <c r="H33" s="2">
        <v>2500</v>
      </c>
      <c r="I33" s="2">
        <v>8</v>
      </c>
      <c r="J33" s="2" t="s">
        <v>23</v>
      </c>
      <c r="K33" s="4"/>
      <c r="L33" s="15">
        <f>ROUNDDOWN((Table1346[[#This Row],[End_Date]]-Table1346[[#This Row],[Start_Date]])/30,0)</f>
        <v>0</v>
      </c>
      <c r="M33" s="6" t="str">
        <f>IF(Table1346[[#This Row],[Referred_By]]&lt;&gt;"","YES","NO")</f>
        <v>NO</v>
      </c>
    </row>
    <row r="34" spans="1:13" x14ac:dyDescent="0.25">
      <c r="A34" s="2" t="s">
        <v>98</v>
      </c>
      <c r="B34" s="2" t="s">
        <v>99</v>
      </c>
      <c r="C34" s="2">
        <v>20</v>
      </c>
      <c r="D34" s="2" t="s">
        <v>12</v>
      </c>
      <c r="E34" s="2" t="s">
        <v>22</v>
      </c>
      <c r="F34" s="3">
        <v>45391</v>
      </c>
      <c r="G34" s="3">
        <v>45604</v>
      </c>
      <c r="H34" s="2">
        <v>1200</v>
      </c>
      <c r="I34" s="2">
        <v>2</v>
      </c>
      <c r="J34" s="2" t="s">
        <v>35</v>
      </c>
      <c r="K34" s="4"/>
      <c r="L34" s="15">
        <f>ROUNDDOWN((Table1346[[#This Row],[End_Date]]-Table1346[[#This Row],[Start_Date]])/30,0)</f>
        <v>7</v>
      </c>
      <c r="M34" s="6" t="str">
        <f>IF(Table1346[[#This Row],[Referred_By]]&lt;&gt;"","YES","NO")</f>
        <v>NO</v>
      </c>
    </row>
    <row r="35" spans="1:13" x14ac:dyDescent="0.25">
      <c r="A35" s="2" t="s">
        <v>100</v>
      </c>
      <c r="B35" s="2" t="s">
        <v>101</v>
      </c>
      <c r="C35" s="2">
        <v>22</v>
      </c>
      <c r="D35" s="2" t="s">
        <v>12</v>
      </c>
      <c r="E35" s="2" t="s">
        <v>13</v>
      </c>
      <c r="F35" s="3">
        <v>45699</v>
      </c>
      <c r="G35" s="3">
        <v>45740</v>
      </c>
      <c r="H35" s="2">
        <v>800</v>
      </c>
      <c r="I35" s="2">
        <v>30</v>
      </c>
      <c r="J35" s="2" t="s">
        <v>35</v>
      </c>
      <c r="K35" s="4"/>
      <c r="L35" s="15">
        <f>ROUNDDOWN((Table1346[[#This Row],[End_Date]]-Table1346[[#This Row],[Start_Date]])/30,0)</f>
        <v>1</v>
      </c>
      <c r="M35" s="6" t="str">
        <f>IF(Table1346[[#This Row],[Referred_By]]&lt;&gt;"","YES","NO")</f>
        <v>NO</v>
      </c>
    </row>
    <row r="36" spans="1:13" x14ac:dyDescent="0.25">
      <c r="A36" s="2" t="s">
        <v>105</v>
      </c>
      <c r="B36" s="2" t="s">
        <v>106</v>
      </c>
      <c r="C36" s="2">
        <v>27</v>
      </c>
      <c r="D36" s="2" t="s">
        <v>27</v>
      </c>
      <c r="E36" s="2" t="s">
        <v>22</v>
      </c>
      <c r="F36" s="3">
        <v>45312</v>
      </c>
      <c r="G36" s="3">
        <v>45652</v>
      </c>
      <c r="H36" s="2">
        <v>1200</v>
      </c>
      <c r="I36" s="2">
        <v>27</v>
      </c>
      <c r="J36" s="2" t="s">
        <v>18</v>
      </c>
      <c r="K36" s="4"/>
      <c r="L36" s="15">
        <f>ROUNDDOWN((Table1346[[#This Row],[End_Date]]-Table1346[[#This Row],[Start_Date]])/30,0)</f>
        <v>11</v>
      </c>
      <c r="M36" s="6" t="str">
        <f>IF(Table1346[[#This Row],[Referred_By]]&lt;&gt;"","YES","NO")</f>
        <v>NO</v>
      </c>
    </row>
  </sheetData>
  <conditionalFormatting sqref="L2:L36">
    <cfRule type="cellIs" dxfId="771" priority="1" operator="lessThan">
      <formula>8</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74DD-BA55-4010-9B86-C008AE7C3F59}">
  <dimension ref="A1:M36"/>
  <sheetViews>
    <sheetView workbookViewId="0">
      <selection activeCell="I42" sqref="I42"/>
    </sheetView>
  </sheetViews>
  <sheetFormatPr defaultRowHeight="15" x14ac:dyDescent="0.25"/>
  <cols>
    <col min="1" max="1" width="11.140625" bestFit="1" customWidth="1"/>
    <col min="2" max="2" width="16.140625" bestFit="1" customWidth="1"/>
    <col min="3" max="3" width="6.7109375" bestFit="1" customWidth="1"/>
    <col min="4" max="4" width="10" bestFit="1" customWidth="1"/>
    <col min="5" max="5" width="20.28515625" bestFit="1" customWidth="1"/>
    <col min="6" max="6" width="12.5703125" bestFit="1" customWidth="1"/>
    <col min="7" max="7" width="11.7109375" bestFit="1" customWidth="1"/>
    <col min="8" max="8" width="15.140625" bestFit="1" customWidth="1"/>
    <col min="9" max="9" width="13.5703125" bestFit="1" customWidth="1"/>
    <col min="10" max="10" width="10.5703125" bestFit="1" customWidth="1"/>
    <col min="11" max="11" width="19" bestFit="1" customWidth="1"/>
    <col min="12" max="12" width="32" bestFit="1" customWidth="1"/>
    <col min="13" max="13" width="11.140625" bestFit="1" customWidth="1"/>
  </cols>
  <sheetData>
    <row r="1" spans="1:13" x14ac:dyDescent="0.25">
      <c r="A1" s="1" t="s">
        <v>107</v>
      </c>
      <c r="B1" s="1" t="s">
        <v>0</v>
      </c>
      <c r="C1" s="1" t="s">
        <v>1</v>
      </c>
      <c r="D1" s="1" t="s">
        <v>2</v>
      </c>
      <c r="E1" s="1" t="s">
        <v>3</v>
      </c>
      <c r="F1" s="1" t="s">
        <v>4</v>
      </c>
      <c r="G1" s="1" t="s">
        <v>5</v>
      </c>
      <c r="H1" s="1" t="s">
        <v>6</v>
      </c>
      <c r="I1" s="1" t="s">
        <v>7</v>
      </c>
      <c r="J1" s="1" t="s">
        <v>8</v>
      </c>
      <c r="K1" s="1" t="s">
        <v>9</v>
      </c>
      <c r="L1" s="1" t="s">
        <v>108</v>
      </c>
      <c r="M1" s="7" t="s">
        <v>109</v>
      </c>
    </row>
    <row r="2" spans="1:13" x14ac:dyDescent="0.25">
      <c r="A2" s="2" t="s">
        <v>98</v>
      </c>
      <c r="B2" s="2" t="s">
        <v>99</v>
      </c>
      <c r="C2" s="2">
        <v>20</v>
      </c>
      <c r="D2" s="2" t="s">
        <v>12</v>
      </c>
      <c r="E2" s="2" t="s">
        <v>22</v>
      </c>
      <c r="F2" s="3">
        <v>45391</v>
      </c>
      <c r="G2" s="3">
        <v>45604</v>
      </c>
      <c r="H2" s="2">
        <v>1200</v>
      </c>
      <c r="I2" s="2">
        <v>2</v>
      </c>
      <c r="J2" s="2" t="s">
        <v>35</v>
      </c>
      <c r="K2" s="4"/>
      <c r="L2" s="15">
        <f>ROUNDDOWN((Table1347[[#This Row],[End_Date]]-Table1347[[#This Row],[Start_Date]])/30,0)</f>
        <v>7</v>
      </c>
      <c r="M2" s="6" t="str">
        <f>IF(Table1347[[#This Row],[Referred_By]]&lt;&gt;"","YES","NO")</f>
        <v>NO</v>
      </c>
    </row>
    <row r="3" spans="1:13" hidden="1" x14ac:dyDescent="0.25">
      <c r="A3" s="2" t="s">
        <v>16</v>
      </c>
      <c r="B3" s="2" t="s">
        <v>17</v>
      </c>
      <c r="C3" s="2">
        <v>27</v>
      </c>
      <c r="D3" s="2" t="s">
        <v>12</v>
      </c>
      <c r="E3" s="2" t="s">
        <v>13</v>
      </c>
      <c r="F3" s="3">
        <v>45714</v>
      </c>
      <c r="G3" s="3">
        <v>45740</v>
      </c>
      <c r="H3" s="2">
        <v>800</v>
      </c>
      <c r="I3" s="2">
        <v>20</v>
      </c>
      <c r="J3" s="2" t="s">
        <v>18</v>
      </c>
      <c r="K3" s="2" t="s">
        <v>19</v>
      </c>
      <c r="L3" s="15">
        <f>ROUNDDOWN((Table1347[[#This Row],[End_Date]]-Table1347[[#This Row],[Start_Date]])/30,0)</f>
        <v>0</v>
      </c>
      <c r="M3" s="6" t="str">
        <f>IF(Table1347[[#This Row],[Referred_By]]&lt;&gt;"","YES","NO")</f>
        <v>YES</v>
      </c>
    </row>
    <row r="4" spans="1:13" x14ac:dyDescent="0.25">
      <c r="A4" s="2" t="s">
        <v>75</v>
      </c>
      <c r="B4" s="2" t="s">
        <v>76</v>
      </c>
      <c r="C4" s="2">
        <v>26</v>
      </c>
      <c r="D4" s="2" t="s">
        <v>27</v>
      </c>
      <c r="E4" s="2" t="s">
        <v>41</v>
      </c>
      <c r="F4" s="3">
        <v>45320</v>
      </c>
      <c r="G4" s="3">
        <v>45616</v>
      </c>
      <c r="H4" s="2">
        <v>1800</v>
      </c>
      <c r="I4" s="2">
        <v>5</v>
      </c>
      <c r="J4" s="2" t="s">
        <v>14</v>
      </c>
      <c r="K4" s="4"/>
      <c r="L4" s="15">
        <f>ROUNDDOWN((Table1347[[#This Row],[End_Date]]-Table1347[[#This Row],[Start_Date]])/30,0)</f>
        <v>9</v>
      </c>
      <c r="M4" s="6" t="str">
        <f>IF(Table1347[[#This Row],[Referred_By]]&lt;&gt;"","YES","NO")</f>
        <v>NO</v>
      </c>
    </row>
    <row r="5" spans="1:13" hidden="1" x14ac:dyDescent="0.25">
      <c r="A5" s="2" t="s">
        <v>25</v>
      </c>
      <c r="B5" s="2" t="s">
        <v>26</v>
      </c>
      <c r="C5" s="2">
        <v>31</v>
      </c>
      <c r="D5" s="2" t="s">
        <v>27</v>
      </c>
      <c r="E5" s="2" t="s">
        <v>22</v>
      </c>
      <c r="F5" s="3">
        <v>45479</v>
      </c>
      <c r="G5" s="3">
        <v>45587</v>
      </c>
      <c r="H5" s="2">
        <v>1200</v>
      </c>
      <c r="I5" s="2">
        <v>16</v>
      </c>
      <c r="J5" s="2" t="s">
        <v>23</v>
      </c>
      <c r="K5" s="2" t="s">
        <v>28</v>
      </c>
      <c r="L5" s="15">
        <f>ROUNDDOWN((Table1347[[#This Row],[End_Date]]-Table1347[[#This Row],[Start_Date]])/30,0)</f>
        <v>3</v>
      </c>
      <c r="M5" s="6" t="str">
        <f>IF(Table1347[[#This Row],[Referred_By]]&lt;&gt;"","YES","NO")</f>
        <v>YES</v>
      </c>
    </row>
    <row r="6" spans="1:13" x14ac:dyDescent="0.25">
      <c r="A6" s="2" t="s">
        <v>79</v>
      </c>
      <c r="B6" s="2" t="s">
        <v>80</v>
      </c>
      <c r="C6" s="2">
        <v>25</v>
      </c>
      <c r="D6" s="2" t="s">
        <v>27</v>
      </c>
      <c r="E6" s="2" t="s">
        <v>22</v>
      </c>
      <c r="F6" s="3">
        <v>45439</v>
      </c>
      <c r="G6" s="3">
        <v>45730</v>
      </c>
      <c r="H6" s="2">
        <v>1200</v>
      </c>
      <c r="I6" s="2">
        <v>6</v>
      </c>
      <c r="J6" s="2" t="s">
        <v>14</v>
      </c>
      <c r="K6" s="4"/>
      <c r="L6" s="15">
        <f>ROUNDDOWN((Table1347[[#This Row],[End_Date]]-Table1347[[#This Row],[Start_Date]])/30,0)</f>
        <v>9</v>
      </c>
      <c r="M6" s="6" t="str">
        <f>IF(Table1347[[#This Row],[Referred_By]]&lt;&gt;"","YES","NO")</f>
        <v>NO</v>
      </c>
    </row>
    <row r="7" spans="1:13" hidden="1" x14ac:dyDescent="0.25">
      <c r="A7" s="2" t="s">
        <v>33</v>
      </c>
      <c r="B7" s="2" t="s">
        <v>34</v>
      </c>
      <c r="C7" s="2">
        <v>40</v>
      </c>
      <c r="D7" s="2" t="s">
        <v>12</v>
      </c>
      <c r="E7" s="2" t="s">
        <v>13</v>
      </c>
      <c r="F7" s="3">
        <v>45317</v>
      </c>
      <c r="G7" s="3">
        <v>45392</v>
      </c>
      <c r="H7" s="2">
        <v>800</v>
      </c>
      <c r="I7" s="2">
        <v>14</v>
      </c>
      <c r="J7" s="2" t="s">
        <v>35</v>
      </c>
      <c r="K7" s="2" t="s">
        <v>36</v>
      </c>
      <c r="L7" s="15">
        <f>ROUNDDOWN((Table1347[[#This Row],[End_Date]]-Table1347[[#This Row],[Start_Date]])/30,0)</f>
        <v>2</v>
      </c>
      <c r="M7" s="6" t="str">
        <f>IF(Table1347[[#This Row],[Referred_By]]&lt;&gt;"","YES","NO")</f>
        <v>YES</v>
      </c>
    </row>
    <row r="8" spans="1:13" hidden="1" x14ac:dyDescent="0.25">
      <c r="A8" s="2" t="s">
        <v>43</v>
      </c>
      <c r="B8" s="2" t="s">
        <v>44</v>
      </c>
      <c r="C8" s="2">
        <v>42</v>
      </c>
      <c r="D8" s="2" t="s">
        <v>12</v>
      </c>
      <c r="E8" s="2" t="s">
        <v>13</v>
      </c>
      <c r="F8" s="3">
        <v>45569</v>
      </c>
      <c r="G8" s="3">
        <v>45582</v>
      </c>
      <c r="H8" s="2">
        <v>800</v>
      </c>
      <c r="I8" s="2">
        <v>3</v>
      </c>
      <c r="J8" s="2" t="s">
        <v>42</v>
      </c>
      <c r="K8" s="2" t="s">
        <v>45</v>
      </c>
      <c r="L8" s="15">
        <f>ROUNDDOWN((Table1347[[#This Row],[End_Date]]-Table1347[[#This Row],[Start_Date]])/30,0)</f>
        <v>0</v>
      </c>
      <c r="M8" s="6" t="str">
        <f>IF(Table1347[[#This Row],[Referred_By]]&lt;&gt;"","YES","NO")</f>
        <v>YES</v>
      </c>
    </row>
    <row r="9" spans="1:13" hidden="1" x14ac:dyDescent="0.25">
      <c r="A9" s="2" t="s">
        <v>46</v>
      </c>
      <c r="B9" s="2" t="s">
        <v>47</v>
      </c>
      <c r="C9" s="2">
        <v>37</v>
      </c>
      <c r="D9" s="2" t="s">
        <v>12</v>
      </c>
      <c r="E9" s="2" t="s">
        <v>22</v>
      </c>
      <c r="F9" s="3">
        <v>45202</v>
      </c>
      <c r="G9" s="3">
        <v>45280</v>
      </c>
      <c r="H9" s="2">
        <v>1200</v>
      </c>
      <c r="I9" s="2">
        <v>29</v>
      </c>
      <c r="J9" s="2" t="s">
        <v>35</v>
      </c>
      <c r="K9" s="2" t="s">
        <v>48</v>
      </c>
      <c r="L9" s="15">
        <f>ROUNDDOWN((Table1347[[#This Row],[End_Date]]-Table1347[[#This Row],[Start_Date]])/30,0)</f>
        <v>2</v>
      </c>
      <c r="M9" s="6" t="str">
        <f>IF(Table1347[[#This Row],[Referred_By]]&lt;&gt;"","YES","NO")</f>
        <v>YES</v>
      </c>
    </row>
    <row r="10" spans="1:13" hidden="1" x14ac:dyDescent="0.25">
      <c r="A10" s="2" t="s">
        <v>49</v>
      </c>
      <c r="B10" s="2" t="s">
        <v>50</v>
      </c>
      <c r="C10" s="2">
        <v>48</v>
      </c>
      <c r="D10" s="2" t="s">
        <v>27</v>
      </c>
      <c r="E10" s="2" t="s">
        <v>22</v>
      </c>
      <c r="F10" s="3">
        <v>45297</v>
      </c>
      <c r="G10" s="3">
        <v>45459</v>
      </c>
      <c r="H10" s="2">
        <v>1200</v>
      </c>
      <c r="I10" s="2">
        <v>13</v>
      </c>
      <c r="J10" s="2" t="s">
        <v>14</v>
      </c>
      <c r="K10" s="2" t="s">
        <v>51</v>
      </c>
      <c r="L10" s="15">
        <f>ROUNDDOWN((Table1347[[#This Row],[End_Date]]-Table1347[[#This Row],[Start_Date]])/30,0)</f>
        <v>5</v>
      </c>
      <c r="M10" s="6" t="str">
        <f>IF(Table1347[[#This Row],[Referred_By]]&lt;&gt;"","YES","NO")</f>
        <v>YES</v>
      </c>
    </row>
    <row r="11" spans="1:13" x14ac:dyDescent="0.25">
      <c r="A11" s="2" t="s">
        <v>59</v>
      </c>
      <c r="B11" s="2" t="s">
        <v>60</v>
      </c>
      <c r="C11" s="2">
        <v>44</v>
      </c>
      <c r="D11" s="2" t="s">
        <v>27</v>
      </c>
      <c r="E11" s="2" t="s">
        <v>13</v>
      </c>
      <c r="F11" s="3">
        <v>45333</v>
      </c>
      <c r="G11" s="3">
        <v>45540</v>
      </c>
      <c r="H11" s="2">
        <v>800</v>
      </c>
      <c r="I11" s="2">
        <v>8</v>
      </c>
      <c r="J11" s="2" t="s">
        <v>23</v>
      </c>
      <c r="K11" s="4"/>
      <c r="L11" s="15">
        <f>ROUNDDOWN((Table1347[[#This Row],[End_Date]]-Table1347[[#This Row],[Start_Date]])/30,0)</f>
        <v>6</v>
      </c>
      <c r="M11" s="6" t="str">
        <f>IF(Table1347[[#This Row],[Referred_By]]&lt;&gt;"","YES","NO")</f>
        <v>NO</v>
      </c>
    </row>
    <row r="12" spans="1:13" x14ac:dyDescent="0.25">
      <c r="A12" s="2" t="s">
        <v>95</v>
      </c>
      <c r="B12" s="2" t="s">
        <v>96</v>
      </c>
      <c r="C12" s="2">
        <v>52</v>
      </c>
      <c r="D12" s="2" t="s">
        <v>27</v>
      </c>
      <c r="E12" s="2" t="s">
        <v>13</v>
      </c>
      <c r="F12" s="3">
        <v>45088</v>
      </c>
      <c r="G12" s="3">
        <v>45656</v>
      </c>
      <c r="H12" s="2">
        <v>800</v>
      </c>
      <c r="I12" s="2">
        <v>9</v>
      </c>
      <c r="J12" s="2" t="s">
        <v>67</v>
      </c>
      <c r="K12" s="2" t="s">
        <v>97</v>
      </c>
      <c r="L12" s="15">
        <f>ROUNDDOWN((Table1347[[#This Row],[End_Date]]-Table1347[[#This Row],[Start_Date]])/30,0)</f>
        <v>18</v>
      </c>
      <c r="M12" s="6" t="str">
        <f>IF(Table1347[[#This Row],[Referred_By]]&lt;&gt;"","YES","NO")</f>
        <v>YES</v>
      </c>
    </row>
    <row r="13" spans="1:13" hidden="1" x14ac:dyDescent="0.25">
      <c r="A13" s="2" t="s">
        <v>81</v>
      </c>
      <c r="B13" s="2" t="s">
        <v>82</v>
      </c>
      <c r="C13" s="2">
        <v>53</v>
      </c>
      <c r="D13" s="2" t="s">
        <v>12</v>
      </c>
      <c r="E13" s="2" t="s">
        <v>41</v>
      </c>
      <c r="F13" s="3">
        <v>45286</v>
      </c>
      <c r="G13" s="3">
        <v>45372</v>
      </c>
      <c r="H13" s="2">
        <v>1800</v>
      </c>
      <c r="I13" s="2">
        <v>17</v>
      </c>
      <c r="J13" s="2" t="s">
        <v>35</v>
      </c>
      <c r="K13" s="2" t="s">
        <v>83</v>
      </c>
      <c r="L13" s="15">
        <f>ROUNDDOWN((Table1347[[#This Row],[End_Date]]-Table1347[[#This Row],[Start_Date]])/30,0)</f>
        <v>2</v>
      </c>
      <c r="M13" s="6" t="str">
        <f>IF(Table1347[[#This Row],[Referred_By]]&lt;&gt;"","YES","NO")</f>
        <v>YES</v>
      </c>
    </row>
    <row r="14" spans="1:13" hidden="1" x14ac:dyDescent="0.25">
      <c r="A14" s="2" t="s">
        <v>92</v>
      </c>
      <c r="B14" s="2" t="s">
        <v>93</v>
      </c>
      <c r="C14" s="2">
        <v>31</v>
      </c>
      <c r="D14" s="2" t="s">
        <v>27</v>
      </c>
      <c r="E14" s="2" t="s">
        <v>31</v>
      </c>
      <c r="F14" s="3">
        <v>45667</v>
      </c>
      <c r="G14" s="3">
        <v>45745</v>
      </c>
      <c r="H14" s="2">
        <v>2500</v>
      </c>
      <c r="I14" s="2">
        <v>23</v>
      </c>
      <c r="J14" s="2" t="s">
        <v>42</v>
      </c>
      <c r="K14" s="2" t="s">
        <v>94</v>
      </c>
      <c r="L14" s="15">
        <f>ROUNDDOWN((Table1347[[#This Row],[End_Date]]-Table1347[[#This Row],[Start_Date]])/30,0)</f>
        <v>2</v>
      </c>
      <c r="M14" s="6" t="str">
        <f>IF(Table1347[[#This Row],[Referred_By]]&lt;&gt;"","YES","NO")</f>
        <v>YES</v>
      </c>
    </row>
    <row r="15" spans="1:13" x14ac:dyDescent="0.25">
      <c r="A15" s="2" t="s">
        <v>29</v>
      </c>
      <c r="B15" s="2" t="s">
        <v>30</v>
      </c>
      <c r="C15" s="2">
        <v>19</v>
      </c>
      <c r="D15" s="2" t="s">
        <v>12</v>
      </c>
      <c r="E15" s="2" t="s">
        <v>31</v>
      </c>
      <c r="F15" s="3">
        <v>45286</v>
      </c>
      <c r="G15" s="3">
        <v>45501</v>
      </c>
      <c r="H15" s="2">
        <v>2500</v>
      </c>
      <c r="I15" s="2">
        <v>12</v>
      </c>
      <c r="J15" s="2" t="s">
        <v>14</v>
      </c>
      <c r="K15" s="2" t="s">
        <v>32</v>
      </c>
      <c r="L15" s="15">
        <f>ROUNDDOWN((Table1347[[#This Row],[End_Date]]-Table1347[[#This Row],[Start_Date]])/30,0)</f>
        <v>7</v>
      </c>
      <c r="M15" s="6" t="str">
        <f>IF(Table1347[[#This Row],[Referred_By]]&lt;&gt;"","YES","NO")</f>
        <v>YES</v>
      </c>
    </row>
    <row r="16" spans="1:13" hidden="1" x14ac:dyDescent="0.25">
      <c r="A16" s="2" t="s">
        <v>102</v>
      </c>
      <c r="B16" s="2" t="s">
        <v>103</v>
      </c>
      <c r="C16" s="2">
        <v>23</v>
      </c>
      <c r="D16" s="2" t="s">
        <v>12</v>
      </c>
      <c r="E16" s="2" t="s">
        <v>41</v>
      </c>
      <c r="F16" s="3">
        <v>45588</v>
      </c>
      <c r="G16" s="3">
        <v>45721</v>
      </c>
      <c r="H16" s="2">
        <v>1800</v>
      </c>
      <c r="I16" s="2">
        <v>23</v>
      </c>
      <c r="J16" s="2" t="s">
        <v>18</v>
      </c>
      <c r="K16" s="2" t="s">
        <v>104</v>
      </c>
      <c r="L16" s="15">
        <f>ROUNDDOWN((Table1347[[#This Row],[End_Date]]-Table1347[[#This Row],[Start_Date]])/30,0)</f>
        <v>4</v>
      </c>
      <c r="M16" s="6" t="str">
        <f>IF(Table1347[[#This Row],[Referred_By]]&lt;&gt;"","YES","NO")</f>
        <v>YES</v>
      </c>
    </row>
    <row r="17" spans="1:13" hidden="1" x14ac:dyDescent="0.25">
      <c r="A17" s="2" t="s">
        <v>37</v>
      </c>
      <c r="B17" s="2" t="s">
        <v>38</v>
      </c>
      <c r="C17" s="2">
        <v>41</v>
      </c>
      <c r="D17" s="2" t="s">
        <v>27</v>
      </c>
      <c r="E17" s="2" t="s">
        <v>13</v>
      </c>
      <c r="F17" s="3">
        <v>45588</v>
      </c>
      <c r="G17" s="3">
        <v>45677</v>
      </c>
      <c r="H17" s="2">
        <v>800</v>
      </c>
      <c r="I17" s="2">
        <v>25</v>
      </c>
      <c r="J17" s="2" t="s">
        <v>18</v>
      </c>
      <c r="K17" s="4"/>
      <c r="L17" s="15">
        <f>ROUNDDOWN((Table1347[[#This Row],[End_Date]]-Table1347[[#This Row],[Start_Date]])/30,0)</f>
        <v>2</v>
      </c>
      <c r="M17" s="6" t="str">
        <f>IF(Table1347[[#This Row],[Referred_By]]&lt;&gt;"","YES","NO")</f>
        <v>NO</v>
      </c>
    </row>
    <row r="18" spans="1:13" hidden="1" x14ac:dyDescent="0.25">
      <c r="A18" s="2" t="s">
        <v>39</v>
      </c>
      <c r="B18" s="2" t="s">
        <v>40</v>
      </c>
      <c r="C18" s="2">
        <v>43</v>
      </c>
      <c r="D18" s="2" t="s">
        <v>12</v>
      </c>
      <c r="E18" s="2" t="s">
        <v>41</v>
      </c>
      <c r="F18" s="3">
        <v>45450</v>
      </c>
      <c r="G18" s="3">
        <v>45563</v>
      </c>
      <c r="H18" s="2">
        <v>1800</v>
      </c>
      <c r="I18" s="2">
        <v>28</v>
      </c>
      <c r="J18" s="2" t="s">
        <v>42</v>
      </c>
      <c r="K18" s="4"/>
      <c r="L18" s="15">
        <f>ROUNDDOWN((Table1347[[#This Row],[End_Date]]-Table1347[[#This Row],[Start_Date]])/30,0)</f>
        <v>3</v>
      </c>
      <c r="M18" s="6" t="str">
        <f>IF(Table1347[[#This Row],[Referred_By]]&lt;&gt;"","YES","NO")</f>
        <v>NO</v>
      </c>
    </row>
    <row r="19" spans="1:13" hidden="1" x14ac:dyDescent="0.25">
      <c r="A19" s="2" t="s">
        <v>55</v>
      </c>
      <c r="B19" s="2" t="s">
        <v>56</v>
      </c>
      <c r="C19" s="2">
        <v>48</v>
      </c>
      <c r="D19" s="2" t="s">
        <v>27</v>
      </c>
      <c r="E19" s="2" t="s">
        <v>41</v>
      </c>
      <c r="F19" s="3">
        <v>45556</v>
      </c>
      <c r="G19" s="3">
        <v>45641</v>
      </c>
      <c r="H19" s="2">
        <v>1800</v>
      </c>
      <c r="I19" s="2">
        <v>22</v>
      </c>
      <c r="J19" s="2" t="s">
        <v>42</v>
      </c>
      <c r="K19" s="4"/>
      <c r="L19" s="15">
        <f>ROUNDDOWN((Table1347[[#This Row],[End_Date]]-Table1347[[#This Row],[Start_Date]])/30,0)</f>
        <v>2</v>
      </c>
      <c r="M19" s="6" t="str">
        <f>IF(Table1347[[#This Row],[Referred_By]]&lt;&gt;"","YES","NO")</f>
        <v>NO</v>
      </c>
    </row>
    <row r="20" spans="1:13" hidden="1" x14ac:dyDescent="0.25">
      <c r="A20" s="2" t="s">
        <v>57</v>
      </c>
      <c r="B20" s="2" t="s">
        <v>58</v>
      </c>
      <c r="C20" s="2">
        <v>39</v>
      </c>
      <c r="D20" s="2" t="s">
        <v>12</v>
      </c>
      <c r="E20" s="2" t="s">
        <v>22</v>
      </c>
      <c r="F20" s="3">
        <v>45065</v>
      </c>
      <c r="G20" s="3">
        <v>45242</v>
      </c>
      <c r="H20" s="2">
        <v>1200</v>
      </c>
      <c r="I20" s="2">
        <v>28</v>
      </c>
      <c r="J20" s="2" t="s">
        <v>35</v>
      </c>
      <c r="K20" s="4"/>
      <c r="L20" s="15">
        <f>ROUNDDOWN((Table1347[[#This Row],[End_Date]]-Table1347[[#This Row],[Start_Date]])/30,0)</f>
        <v>5</v>
      </c>
      <c r="M20" s="6" t="str">
        <f>IF(Table1347[[#This Row],[Referred_By]]&lt;&gt;"","YES","NO")</f>
        <v>NO</v>
      </c>
    </row>
    <row r="21" spans="1:13" x14ac:dyDescent="0.25">
      <c r="A21" s="2" t="s">
        <v>65</v>
      </c>
      <c r="B21" s="2" t="s">
        <v>66</v>
      </c>
      <c r="C21" s="2">
        <v>56</v>
      </c>
      <c r="D21" s="2" t="s">
        <v>27</v>
      </c>
      <c r="E21" s="2" t="s">
        <v>31</v>
      </c>
      <c r="F21" s="3">
        <v>45213</v>
      </c>
      <c r="G21" s="3">
        <v>45649</v>
      </c>
      <c r="H21" s="2">
        <v>2500</v>
      </c>
      <c r="I21" s="2">
        <v>13</v>
      </c>
      <c r="J21" s="2" t="s">
        <v>67</v>
      </c>
      <c r="K21" s="4"/>
      <c r="L21" s="15">
        <f>ROUNDDOWN((Table1347[[#This Row],[End_Date]]-Table1347[[#This Row],[Start_Date]])/30,0)</f>
        <v>14</v>
      </c>
      <c r="M21" s="6" t="str">
        <f>IF(Table1347[[#This Row],[Referred_By]]&lt;&gt;"","YES","NO")</f>
        <v>NO</v>
      </c>
    </row>
    <row r="22" spans="1:13" hidden="1" x14ac:dyDescent="0.25">
      <c r="A22" s="2" t="s">
        <v>61</v>
      </c>
      <c r="B22" s="2" t="s">
        <v>62</v>
      </c>
      <c r="C22" s="2">
        <v>39</v>
      </c>
      <c r="D22" s="2" t="s">
        <v>12</v>
      </c>
      <c r="E22" s="2" t="s">
        <v>31</v>
      </c>
      <c r="F22" s="3">
        <v>45702</v>
      </c>
      <c r="G22" s="3">
        <v>45732</v>
      </c>
      <c r="H22" s="2">
        <v>2500</v>
      </c>
      <c r="I22" s="2">
        <v>14</v>
      </c>
      <c r="J22" s="2" t="s">
        <v>42</v>
      </c>
      <c r="K22" s="4"/>
      <c r="L22" s="15">
        <f>ROUNDDOWN((Table1347[[#This Row],[End_Date]]-Table1347[[#This Row],[Start_Date]])/30,0)</f>
        <v>1</v>
      </c>
      <c r="M22" s="6" t="str">
        <f>IF(Table1347[[#This Row],[Referred_By]]&lt;&gt;"","YES","NO")</f>
        <v>NO</v>
      </c>
    </row>
    <row r="23" spans="1:13" x14ac:dyDescent="0.25">
      <c r="A23" s="2" t="s">
        <v>20</v>
      </c>
      <c r="B23" s="2" t="s">
        <v>21</v>
      </c>
      <c r="C23" s="2">
        <v>24</v>
      </c>
      <c r="D23" s="2" t="s">
        <v>12</v>
      </c>
      <c r="E23" s="2" t="s">
        <v>22</v>
      </c>
      <c r="F23" s="3">
        <v>45191</v>
      </c>
      <c r="G23" s="3">
        <v>45371</v>
      </c>
      <c r="H23" s="2">
        <v>1200</v>
      </c>
      <c r="I23" s="2">
        <v>18</v>
      </c>
      <c r="J23" s="2" t="s">
        <v>23</v>
      </c>
      <c r="K23" s="2" t="s">
        <v>24</v>
      </c>
      <c r="L23" s="15">
        <f>ROUNDDOWN((Table1347[[#This Row],[End_Date]]-Table1347[[#This Row],[Start_Date]])/30,0)</f>
        <v>6</v>
      </c>
      <c r="M23" s="6" t="str">
        <f>IF(Table1347[[#This Row],[Referred_By]]&lt;&gt;"","YES","NO")</f>
        <v>YES</v>
      </c>
    </row>
    <row r="24" spans="1:13" x14ac:dyDescent="0.25">
      <c r="A24" s="2" t="s">
        <v>52</v>
      </c>
      <c r="B24" s="2" t="s">
        <v>53</v>
      </c>
      <c r="C24" s="2">
        <v>36</v>
      </c>
      <c r="D24" s="2" t="s">
        <v>12</v>
      </c>
      <c r="E24" s="2" t="s">
        <v>22</v>
      </c>
      <c r="F24" s="3">
        <v>45154</v>
      </c>
      <c r="G24" s="3">
        <v>45568</v>
      </c>
      <c r="H24" s="2">
        <v>1200</v>
      </c>
      <c r="I24" s="2">
        <v>19</v>
      </c>
      <c r="J24" s="2" t="s">
        <v>42</v>
      </c>
      <c r="K24" s="2" t="s">
        <v>54</v>
      </c>
      <c r="L24" s="15">
        <f>ROUNDDOWN((Table1347[[#This Row],[End_Date]]-Table1347[[#This Row],[Start_Date]])/30,0)</f>
        <v>13</v>
      </c>
      <c r="M24" s="6" t="str">
        <f>IF(Table1347[[#This Row],[Referred_By]]&lt;&gt;"","YES","NO")</f>
        <v>YES</v>
      </c>
    </row>
    <row r="25" spans="1:13" x14ac:dyDescent="0.25">
      <c r="A25" s="2" t="s">
        <v>73</v>
      </c>
      <c r="B25" s="2" t="s">
        <v>74</v>
      </c>
      <c r="C25" s="2">
        <v>57</v>
      </c>
      <c r="D25" s="2" t="s">
        <v>27</v>
      </c>
      <c r="E25" s="2" t="s">
        <v>41</v>
      </c>
      <c r="F25" s="3">
        <v>45146</v>
      </c>
      <c r="G25" s="3">
        <v>45674</v>
      </c>
      <c r="H25" s="2">
        <v>1800</v>
      </c>
      <c r="I25" s="2">
        <v>19</v>
      </c>
      <c r="J25" s="2" t="s">
        <v>35</v>
      </c>
      <c r="K25" s="4"/>
      <c r="L25" s="15">
        <f>ROUNDDOWN((Table1347[[#This Row],[End_Date]]-Table1347[[#This Row],[Start_Date]])/30,0)</f>
        <v>17</v>
      </c>
      <c r="M25" s="6" t="str">
        <f>IF(Table1347[[#This Row],[Referred_By]]&lt;&gt;"","YES","NO")</f>
        <v>NO</v>
      </c>
    </row>
    <row r="26" spans="1:13" x14ac:dyDescent="0.25">
      <c r="A26" s="2" t="s">
        <v>70</v>
      </c>
      <c r="B26" s="2" t="s">
        <v>71</v>
      </c>
      <c r="C26" s="2">
        <v>28</v>
      </c>
      <c r="D26" s="2" t="s">
        <v>12</v>
      </c>
      <c r="E26" s="2" t="s">
        <v>31</v>
      </c>
      <c r="F26" s="3">
        <v>45417</v>
      </c>
      <c r="G26" s="3">
        <v>45608</v>
      </c>
      <c r="H26" s="2">
        <v>2500</v>
      </c>
      <c r="I26" s="2">
        <v>21</v>
      </c>
      <c r="J26" s="2" t="s">
        <v>35</v>
      </c>
      <c r="K26" s="2" t="s">
        <v>72</v>
      </c>
      <c r="L26" s="15">
        <f>ROUNDDOWN((Table1347[[#This Row],[End_Date]]-Table1347[[#This Row],[Start_Date]])/30,0)</f>
        <v>6</v>
      </c>
      <c r="M26" s="6" t="str">
        <f>IF(Table1347[[#This Row],[Referred_By]]&lt;&gt;"","YES","NO")</f>
        <v>YES</v>
      </c>
    </row>
    <row r="27" spans="1:13" x14ac:dyDescent="0.25">
      <c r="A27" s="2" t="s">
        <v>10</v>
      </c>
      <c r="B27" s="2" t="s">
        <v>11</v>
      </c>
      <c r="C27" s="2">
        <v>59</v>
      </c>
      <c r="D27" s="2" t="s">
        <v>12</v>
      </c>
      <c r="E27" s="2" t="s">
        <v>13</v>
      </c>
      <c r="F27" s="3">
        <v>45235</v>
      </c>
      <c r="G27" s="3">
        <v>45425</v>
      </c>
      <c r="H27" s="2">
        <v>800</v>
      </c>
      <c r="I27" s="2">
        <v>25</v>
      </c>
      <c r="J27" s="2" t="s">
        <v>14</v>
      </c>
      <c r="K27" s="2" t="s">
        <v>15</v>
      </c>
      <c r="L27" s="15">
        <f>ROUNDDOWN((Table1347[[#This Row],[End_Date]]-Table1347[[#This Row],[Start_Date]])/30,0)</f>
        <v>6</v>
      </c>
      <c r="M27" s="6" t="str">
        <f>IF(Table1347[[#This Row],[Referred_By]]&lt;&gt;"","YES","NO")</f>
        <v>YES</v>
      </c>
    </row>
    <row r="28" spans="1:13" hidden="1" x14ac:dyDescent="0.25">
      <c r="A28" s="2" t="s">
        <v>77</v>
      </c>
      <c r="B28" s="2" t="s">
        <v>78</v>
      </c>
      <c r="C28" s="2">
        <v>48</v>
      </c>
      <c r="D28" s="2" t="s">
        <v>12</v>
      </c>
      <c r="E28" s="2" t="s">
        <v>41</v>
      </c>
      <c r="F28" s="3">
        <v>45451</v>
      </c>
      <c r="G28" s="3">
        <v>45455</v>
      </c>
      <c r="H28" s="2">
        <v>1800</v>
      </c>
      <c r="I28" s="2">
        <v>18</v>
      </c>
      <c r="J28" s="2" t="s">
        <v>67</v>
      </c>
      <c r="K28" s="4"/>
      <c r="L28" s="15">
        <f>ROUNDDOWN((Table1347[[#This Row],[End_Date]]-Table1347[[#This Row],[Start_Date]])/30,0)</f>
        <v>0</v>
      </c>
      <c r="M28" s="6" t="str">
        <f>IF(Table1347[[#This Row],[Referred_By]]&lt;&gt;"","YES","NO")</f>
        <v>NO</v>
      </c>
    </row>
    <row r="29" spans="1:13" x14ac:dyDescent="0.25">
      <c r="A29" s="2" t="s">
        <v>63</v>
      </c>
      <c r="B29" s="2" t="s">
        <v>64</v>
      </c>
      <c r="C29" s="2">
        <v>35</v>
      </c>
      <c r="D29" s="2" t="s">
        <v>12</v>
      </c>
      <c r="E29" s="2" t="s">
        <v>22</v>
      </c>
      <c r="F29" s="3">
        <v>45329</v>
      </c>
      <c r="G29" s="3">
        <v>45685</v>
      </c>
      <c r="H29" s="2">
        <v>1200</v>
      </c>
      <c r="I29" s="2">
        <v>25</v>
      </c>
      <c r="J29" s="2" t="s">
        <v>23</v>
      </c>
      <c r="K29" s="4"/>
      <c r="L29" s="15">
        <f>ROUNDDOWN((Table1347[[#This Row],[End_Date]]-Table1347[[#This Row],[Start_Date]])/30,0)</f>
        <v>11</v>
      </c>
      <c r="M29" s="6" t="str">
        <f>IF(Table1347[[#This Row],[Referred_By]]&lt;&gt;"","YES","NO")</f>
        <v>NO</v>
      </c>
    </row>
    <row r="30" spans="1:13" hidden="1" x14ac:dyDescent="0.25">
      <c r="A30" s="2" t="s">
        <v>84</v>
      </c>
      <c r="B30" s="2" t="s">
        <v>85</v>
      </c>
      <c r="C30" s="2">
        <v>42</v>
      </c>
      <c r="D30" s="2" t="s">
        <v>27</v>
      </c>
      <c r="E30" s="2" t="s">
        <v>22</v>
      </c>
      <c r="F30" s="3">
        <v>45702</v>
      </c>
      <c r="G30" s="3">
        <v>45727</v>
      </c>
      <c r="H30" s="2">
        <v>1200</v>
      </c>
      <c r="I30" s="2">
        <v>3</v>
      </c>
      <c r="J30" s="2" t="s">
        <v>67</v>
      </c>
      <c r="K30" s="4"/>
      <c r="L30" s="15">
        <f>ROUNDDOWN((Table1347[[#This Row],[End_Date]]-Table1347[[#This Row],[Start_Date]])/30,0)</f>
        <v>0</v>
      </c>
      <c r="M30" s="6" t="str">
        <f>IF(Table1347[[#This Row],[Referred_By]]&lt;&gt;"","YES","NO")</f>
        <v>NO</v>
      </c>
    </row>
    <row r="31" spans="1:13" hidden="1" x14ac:dyDescent="0.25">
      <c r="A31" s="2" t="s">
        <v>86</v>
      </c>
      <c r="B31" s="2" t="s">
        <v>87</v>
      </c>
      <c r="C31" s="2">
        <v>24</v>
      </c>
      <c r="D31" s="2" t="s">
        <v>12</v>
      </c>
      <c r="E31" s="2" t="s">
        <v>31</v>
      </c>
      <c r="F31" s="3">
        <v>45698</v>
      </c>
      <c r="G31" s="3">
        <v>45726</v>
      </c>
      <c r="H31" s="2">
        <v>2500</v>
      </c>
      <c r="I31" s="2">
        <v>28</v>
      </c>
      <c r="J31" s="2" t="s">
        <v>35</v>
      </c>
      <c r="K31" s="4"/>
      <c r="L31" s="15">
        <f>ROUNDDOWN((Table1347[[#This Row],[End_Date]]-Table1347[[#This Row],[Start_Date]])/30,0)</f>
        <v>0</v>
      </c>
      <c r="M31" s="6" t="str">
        <f>IF(Table1347[[#This Row],[Referred_By]]&lt;&gt;"","YES","NO")</f>
        <v>NO</v>
      </c>
    </row>
    <row r="32" spans="1:13" hidden="1" x14ac:dyDescent="0.25">
      <c r="A32" s="2" t="s">
        <v>88</v>
      </c>
      <c r="B32" s="2" t="s">
        <v>89</v>
      </c>
      <c r="C32" s="2">
        <v>53</v>
      </c>
      <c r="D32" s="2" t="s">
        <v>12</v>
      </c>
      <c r="E32" s="2" t="s">
        <v>22</v>
      </c>
      <c r="F32" s="3">
        <v>45614</v>
      </c>
      <c r="G32" s="3">
        <v>45645</v>
      </c>
      <c r="H32" s="2">
        <v>1200</v>
      </c>
      <c r="I32" s="2">
        <v>23</v>
      </c>
      <c r="J32" s="2" t="s">
        <v>18</v>
      </c>
      <c r="K32" s="4"/>
      <c r="L32" s="15">
        <f>ROUNDDOWN((Table1347[[#This Row],[End_Date]]-Table1347[[#This Row],[Start_Date]])/30,0)</f>
        <v>1</v>
      </c>
      <c r="M32" s="6" t="str">
        <f>IF(Table1347[[#This Row],[Referred_By]]&lt;&gt;"","YES","NO")</f>
        <v>NO</v>
      </c>
    </row>
    <row r="33" spans="1:13" hidden="1" x14ac:dyDescent="0.25">
      <c r="A33" s="2" t="s">
        <v>90</v>
      </c>
      <c r="B33" s="2" t="s">
        <v>91</v>
      </c>
      <c r="C33" s="2">
        <v>29</v>
      </c>
      <c r="D33" s="2" t="s">
        <v>27</v>
      </c>
      <c r="E33" s="2" t="s">
        <v>31</v>
      </c>
      <c r="F33" s="3">
        <v>45401</v>
      </c>
      <c r="G33" s="3">
        <v>45408</v>
      </c>
      <c r="H33" s="2">
        <v>2500</v>
      </c>
      <c r="I33" s="2">
        <v>8</v>
      </c>
      <c r="J33" s="2" t="s">
        <v>23</v>
      </c>
      <c r="K33" s="4"/>
      <c r="L33" s="15">
        <f>ROUNDDOWN((Table1347[[#This Row],[End_Date]]-Table1347[[#This Row],[Start_Date]])/30,0)</f>
        <v>0</v>
      </c>
      <c r="M33" s="6" t="str">
        <f>IF(Table1347[[#This Row],[Referred_By]]&lt;&gt;"","YES","NO")</f>
        <v>NO</v>
      </c>
    </row>
    <row r="34" spans="1:13" x14ac:dyDescent="0.25">
      <c r="A34" s="2" t="s">
        <v>68</v>
      </c>
      <c r="B34" s="2" t="s">
        <v>69</v>
      </c>
      <c r="C34" s="2">
        <v>27</v>
      </c>
      <c r="D34" s="2" t="s">
        <v>27</v>
      </c>
      <c r="E34" s="2" t="s">
        <v>13</v>
      </c>
      <c r="F34" s="3">
        <v>45354</v>
      </c>
      <c r="G34" s="3">
        <v>45664</v>
      </c>
      <c r="H34" s="2">
        <v>800</v>
      </c>
      <c r="I34" s="2">
        <v>26</v>
      </c>
      <c r="J34" s="2" t="s">
        <v>35</v>
      </c>
      <c r="K34" s="4"/>
      <c r="L34" s="15">
        <f>ROUNDDOWN((Table1347[[#This Row],[End_Date]]-Table1347[[#This Row],[Start_Date]])/30,0)</f>
        <v>10</v>
      </c>
      <c r="M34" s="6" t="str">
        <f>IF(Table1347[[#This Row],[Referred_By]]&lt;&gt;"","YES","NO")</f>
        <v>NO</v>
      </c>
    </row>
    <row r="35" spans="1:13" hidden="1" x14ac:dyDescent="0.25">
      <c r="A35" s="2" t="s">
        <v>100</v>
      </c>
      <c r="B35" s="2" t="s">
        <v>101</v>
      </c>
      <c r="C35" s="2">
        <v>22</v>
      </c>
      <c r="D35" s="2" t="s">
        <v>12</v>
      </c>
      <c r="E35" s="2" t="s">
        <v>13</v>
      </c>
      <c r="F35" s="3">
        <v>45699</v>
      </c>
      <c r="G35" s="3">
        <v>45740</v>
      </c>
      <c r="H35" s="2">
        <v>800</v>
      </c>
      <c r="I35" s="2">
        <v>30</v>
      </c>
      <c r="J35" s="2" t="s">
        <v>35</v>
      </c>
      <c r="K35" s="4"/>
      <c r="L35" s="15">
        <f>ROUNDDOWN((Table1347[[#This Row],[End_Date]]-Table1347[[#This Row],[Start_Date]])/30,0)</f>
        <v>1</v>
      </c>
      <c r="M35" s="6" t="str">
        <f>IF(Table1347[[#This Row],[Referred_By]]&lt;&gt;"","YES","NO")</f>
        <v>NO</v>
      </c>
    </row>
    <row r="36" spans="1:13" x14ac:dyDescent="0.25">
      <c r="A36" s="2" t="s">
        <v>105</v>
      </c>
      <c r="B36" s="2" t="s">
        <v>106</v>
      </c>
      <c r="C36" s="2">
        <v>27</v>
      </c>
      <c r="D36" s="2" t="s">
        <v>27</v>
      </c>
      <c r="E36" s="2" t="s">
        <v>22</v>
      </c>
      <c r="F36" s="3">
        <v>45312</v>
      </c>
      <c r="G36" s="3">
        <v>45652</v>
      </c>
      <c r="H36" s="2">
        <v>1200</v>
      </c>
      <c r="I36" s="2">
        <v>27</v>
      </c>
      <c r="J36" s="2" t="s">
        <v>18</v>
      </c>
      <c r="K36" s="4"/>
      <c r="L36" s="15">
        <f>ROUNDDOWN((Table1347[[#This Row],[End_Date]]-Table1347[[#This Row],[Start_Date]])/30,0)</f>
        <v>11</v>
      </c>
      <c r="M36" s="6" t="str">
        <f>IF(Table1347[[#This Row],[Referred_By]]&lt;&gt;"","YES","NO")</f>
        <v>NO</v>
      </c>
    </row>
  </sheetData>
  <conditionalFormatting sqref="L2:L36">
    <cfRule type="cellIs" dxfId="770" priority="5" operator="greaterThanOrEqual">
      <formula>6</formula>
    </cfRule>
    <cfRule type="cellIs" priority="6" operator="greaterThanOrEqual">
      <formula>6</formula>
    </cfRule>
    <cfRule type="cellIs" priority="7" operator="greaterThanOrEqual">
      <formula>6</formula>
    </cfRule>
  </conditionalFormatting>
  <conditionalFormatting sqref="I2:I36">
    <cfRule type="iconSet" priority="1">
      <iconSet>
        <cfvo type="percent" val="0"/>
        <cfvo type="num" val="15"/>
        <cfvo type="num" val="25"/>
      </iconSet>
    </cfRule>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050E-2770-4B68-B0E9-007C3E739D65}">
  <dimension ref="A3:I33"/>
  <sheetViews>
    <sheetView topLeftCell="A15" workbookViewId="0">
      <selection activeCell="I17" sqref="I17"/>
    </sheetView>
  </sheetViews>
  <sheetFormatPr defaultRowHeight="15" x14ac:dyDescent="0.25"/>
  <cols>
    <col min="1" max="1" width="21.140625" bestFit="1" customWidth="1"/>
    <col min="2" max="2" width="18.5703125" bestFit="1" customWidth="1"/>
    <col min="3" max="3" width="7" bestFit="1" customWidth="1"/>
    <col min="4" max="4" width="11.28515625" bestFit="1" customWidth="1"/>
    <col min="5" max="5" width="25.85546875" bestFit="1" customWidth="1"/>
    <col min="6" max="6" width="24.7109375" bestFit="1" customWidth="1"/>
    <col min="7" max="7" width="16.28515625" bestFit="1" customWidth="1"/>
    <col min="8" max="9" width="12" bestFit="1" customWidth="1"/>
    <col min="10" max="10" width="24.7109375" bestFit="1" customWidth="1"/>
    <col min="11" max="11" width="19.5703125" customWidth="1"/>
    <col min="12" max="12" width="14.5703125" customWidth="1"/>
    <col min="13" max="13" width="19.140625" customWidth="1"/>
    <col min="14" max="14" width="8.85546875" bestFit="1" customWidth="1"/>
    <col min="15" max="15" width="12" bestFit="1" customWidth="1"/>
    <col min="16" max="16" width="21.140625" bestFit="1" customWidth="1"/>
    <col min="17" max="17" width="13.140625" bestFit="1" customWidth="1"/>
    <col min="18" max="18" width="30.140625" bestFit="1" customWidth="1"/>
    <col min="19" max="19" width="22" bestFit="1" customWidth="1"/>
    <col min="20" max="20" width="21.140625" bestFit="1" customWidth="1"/>
    <col min="21" max="21" width="13.140625" bestFit="1" customWidth="1"/>
    <col min="22" max="22" width="21.140625" bestFit="1" customWidth="1"/>
    <col min="23" max="23" width="13.140625" bestFit="1" customWidth="1"/>
    <col min="24" max="24" width="29.85546875" bestFit="1" customWidth="1"/>
    <col min="25" max="25" width="21.7109375" bestFit="1" customWidth="1"/>
    <col min="26" max="26" width="26.28515625" bestFit="1" customWidth="1"/>
    <col min="27" max="27" width="18.140625" bestFit="1" customWidth="1"/>
  </cols>
  <sheetData>
    <row r="3" spans="1:9" x14ac:dyDescent="0.25">
      <c r="A3" s="8" t="s">
        <v>117</v>
      </c>
      <c r="B3" s="17" t="s">
        <v>116</v>
      </c>
      <c r="C3" s="18"/>
      <c r="D3" s="18"/>
      <c r="F3" s="8" t="s">
        <v>118</v>
      </c>
      <c r="G3" s="8" t="s">
        <v>116</v>
      </c>
    </row>
    <row r="4" spans="1:9" x14ac:dyDescent="0.25">
      <c r="A4" s="17" t="s">
        <v>110</v>
      </c>
      <c r="B4" s="18" t="s">
        <v>112</v>
      </c>
      <c r="C4" s="18" t="s">
        <v>113</v>
      </c>
      <c r="D4" s="18" t="s">
        <v>111</v>
      </c>
      <c r="F4" s="8" t="s">
        <v>110</v>
      </c>
      <c r="G4" t="s">
        <v>112</v>
      </c>
      <c r="H4" t="s">
        <v>113</v>
      </c>
      <c r="I4" t="s">
        <v>111</v>
      </c>
    </row>
    <row r="5" spans="1:9" x14ac:dyDescent="0.25">
      <c r="A5" s="9" t="s">
        <v>18</v>
      </c>
      <c r="B5" s="19">
        <v>16000</v>
      </c>
      <c r="C5" s="19">
        <v>7200</v>
      </c>
      <c r="D5" s="19">
        <v>23200</v>
      </c>
      <c r="F5" s="9" t="s">
        <v>14</v>
      </c>
      <c r="G5" s="14">
        <v>13500</v>
      </c>
      <c r="H5" s="14">
        <v>9433.3333333333339</v>
      </c>
      <c r="I5" s="14">
        <v>11060</v>
      </c>
    </row>
    <row r="6" spans="1:9" x14ac:dyDescent="0.25">
      <c r="A6" s="21" t="s">
        <v>13</v>
      </c>
      <c r="B6" s="19">
        <v>1600</v>
      </c>
      <c r="C6" s="19">
        <v>0</v>
      </c>
      <c r="D6" s="19">
        <v>1600</v>
      </c>
      <c r="F6" s="16" t="s">
        <v>13</v>
      </c>
      <c r="G6" s="14"/>
      <c r="H6" s="14">
        <v>4800</v>
      </c>
      <c r="I6" s="14">
        <v>4800</v>
      </c>
    </row>
    <row r="7" spans="1:9" x14ac:dyDescent="0.25">
      <c r="A7" s="21" t="s">
        <v>41</v>
      </c>
      <c r="B7" s="19"/>
      <c r="C7" s="19">
        <v>7200</v>
      </c>
      <c r="D7" s="19">
        <v>7200</v>
      </c>
      <c r="F7" s="16" t="s">
        <v>31</v>
      </c>
      <c r="G7" s="14"/>
      <c r="H7" s="14">
        <v>17500</v>
      </c>
      <c r="I7" s="14">
        <v>17500</v>
      </c>
    </row>
    <row r="8" spans="1:9" x14ac:dyDescent="0.25">
      <c r="A8" s="21" t="s">
        <v>22</v>
      </c>
      <c r="B8" s="19">
        <v>14400</v>
      </c>
      <c r="C8" s="19"/>
      <c r="D8" s="19">
        <v>14400</v>
      </c>
      <c r="F8" s="16" t="s">
        <v>41</v>
      </c>
      <c r="G8" s="14">
        <v>16200</v>
      </c>
      <c r="H8" s="14"/>
      <c r="I8" s="14">
        <v>16200</v>
      </c>
    </row>
    <row r="9" spans="1:9" x14ac:dyDescent="0.25">
      <c r="A9" s="9" t="s">
        <v>35</v>
      </c>
      <c r="B9" s="19">
        <v>53800</v>
      </c>
      <c r="C9" s="19">
        <v>22600</v>
      </c>
      <c r="D9" s="19">
        <v>76400</v>
      </c>
      <c r="F9" s="16" t="s">
        <v>22</v>
      </c>
      <c r="G9" s="14">
        <v>10800</v>
      </c>
      <c r="H9" s="14">
        <v>6000</v>
      </c>
      <c r="I9" s="14">
        <v>8400</v>
      </c>
    </row>
    <row r="10" spans="1:9" x14ac:dyDescent="0.25">
      <c r="A10" s="21" t="s">
        <v>13</v>
      </c>
      <c r="B10" s="19">
        <v>8800</v>
      </c>
      <c r="C10" s="19">
        <v>1600</v>
      </c>
      <c r="D10" s="19">
        <v>10400</v>
      </c>
      <c r="F10" s="9" t="s">
        <v>67</v>
      </c>
      <c r="G10" s="14">
        <v>11666.666666666666</v>
      </c>
      <c r="H10" s="14">
        <v>14400</v>
      </c>
      <c r="I10" s="14">
        <v>12350</v>
      </c>
    </row>
    <row r="11" spans="1:9" x14ac:dyDescent="0.25">
      <c r="A11" s="21" t="s">
        <v>31</v>
      </c>
      <c r="B11" s="19">
        <v>0</v>
      </c>
      <c r="C11" s="19">
        <v>15000</v>
      </c>
      <c r="D11" s="19">
        <v>15000</v>
      </c>
      <c r="F11" s="16" t="s">
        <v>13</v>
      </c>
      <c r="G11" s="14"/>
      <c r="H11" s="14">
        <v>14400</v>
      </c>
      <c r="I11" s="14">
        <v>14400</v>
      </c>
    </row>
    <row r="12" spans="1:9" x14ac:dyDescent="0.25">
      <c r="A12" s="21" t="s">
        <v>41</v>
      </c>
      <c r="B12" s="19">
        <v>30600</v>
      </c>
      <c r="C12" s="19">
        <v>3600</v>
      </c>
      <c r="D12" s="19">
        <v>34200</v>
      </c>
      <c r="F12" s="16" t="s">
        <v>31</v>
      </c>
      <c r="G12" s="14">
        <v>35000</v>
      </c>
      <c r="H12" s="14"/>
      <c r="I12" s="14">
        <v>35000</v>
      </c>
    </row>
    <row r="13" spans="1:9" x14ac:dyDescent="0.25">
      <c r="A13" s="21" t="s">
        <v>22</v>
      </c>
      <c r="B13" s="19">
        <v>14400</v>
      </c>
      <c r="C13" s="19">
        <v>2400</v>
      </c>
      <c r="D13" s="19">
        <v>16800</v>
      </c>
      <c r="F13" s="16" t="s">
        <v>41</v>
      </c>
      <c r="G13" s="14">
        <v>0</v>
      </c>
      <c r="H13" s="14"/>
      <c r="I13" s="14">
        <v>0</v>
      </c>
    </row>
    <row r="14" spans="1:9" x14ac:dyDescent="0.25">
      <c r="A14" s="9" t="s">
        <v>42</v>
      </c>
      <c r="B14" s="19">
        <v>11500</v>
      </c>
      <c r="C14" s="19">
        <v>20600</v>
      </c>
      <c r="D14" s="19">
        <v>32100</v>
      </c>
      <c r="F14" s="16" t="s">
        <v>22</v>
      </c>
      <c r="G14" s="14">
        <v>0</v>
      </c>
      <c r="H14" s="14"/>
      <c r="I14" s="14">
        <v>0</v>
      </c>
    </row>
    <row r="15" spans="1:9" x14ac:dyDescent="0.25">
      <c r="A15" s="21" t="s">
        <v>13</v>
      </c>
      <c r="B15" s="19"/>
      <c r="C15" s="19">
        <v>0</v>
      </c>
      <c r="D15" s="19">
        <v>0</v>
      </c>
      <c r="F15" s="9" t="s">
        <v>23</v>
      </c>
      <c r="G15" s="14">
        <v>6000</v>
      </c>
      <c r="H15" s="14">
        <v>5400</v>
      </c>
      <c r="I15" s="14">
        <v>5760</v>
      </c>
    </row>
    <row r="16" spans="1:9" x14ac:dyDescent="0.25">
      <c r="A16" s="21" t="s">
        <v>31</v>
      </c>
      <c r="B16" s="19">
        <v>2500</v>
      </c>
      <c r="C16" s="19">
        <v>5000</v>
      </c>
      <c r="D16" s="19">
        <v>7500</v>
      </c>
      <c r="F16" s="16" t="s">
        <v>13</v>
      </c>
      <c r="G16" s="14">
        <v>4800</v>
      </c>
      <c r="H16" s="14"/>
      <c r="I16" s="14">
        <v>4800</v>
      </c>
    </row>
    <row r="17" spans="1:9" x14ac:dyDescent="0.25">
      <c r="A17" s="21" t="s">
        <v>41</v>
      </c>
      <c r="B17" s="19">
        <v>9000</v>
      </c>
      <c r="C17" s="19"/>
      <c r="D17" s="19">
        <v>9000</v>
      </c>
      <c r="F17" s="16" t="s">
        <v>31</v>
      </c>
      <c r="G17" s="14">
        <v>0</v>
      </c>
      <c r="H17" s="14"/>
      <c r="I17" s="14">
        <v>0</v>
      </c>
    </row>
    <row r="18" spans="1:9" x14ac:dyDescent="0.25">
      <c r="A18" s="21" t="s">
        <v>22</v>
      </c>
      <c r="B18" s="19"/>
      <c r="C18" s="19">
        <v>15600</v>
      </c>
      <c r="D18" s="19">
        <v>15600</v>
      </c>
      <c r="F18" s="16" t="s">
        <v>22</v>
      </c>
      <c r="G18" s="14">
        <v>13200</v>
      </c>
      <c r="H18" s="14">
        <v>5400</v>
      </c>
      <c r="I18" s="14">
        <v>8000</v>
      </c>
    </row>
    <row r="19" spans="1:9" x14ac:dyDescent="0.25">
      <c r="A19" s="9" t="s">
        <v>23</v>
      </c>
      <c r="B19" s="19">
        <v>18000</v>
      </c>
      <c r="C19" s="19">
        <v>10800</v>
      </c>
      <c r="D19" s="19">
        <v>28800</v>
      </c>
      <c r="F19" s="9" t="s">
        <v>42</v>
      </c>
      <c r="G19" s="14">
        <v>3833.3333333333335</v>
      </c>
      <c r="H19" s="14">
        <v>6866.666666666667</v>
      </c>
      <c r="I19" s="14">
        <v>5350</v>
      </c>
    </row>
    <row r="20" spans="1:9" x14ac:dyDescent="0.25">
      <c r="A20" s="21" t="s">
        <v>13</v>
      </c>
      <c r="B20" s="19">
        <v>4800</v>
      </c>
      <c r="C20" s="19"/>
      <c r="D20" s="19">
        <v>4800</v>
      </c>
      <c r="F20" s="16" t="s">
        <v>13</v>
      </c>
      <c r="G20" s="14"/>
      <c r="H20" s="14">
        <v>0</v>
      </c>
      <c r="I20" s="14">
        <v>0</v>
      </c>
    </row>
    <row r="21" spans="1:9" x14ac:dyDescent="0.25">
      <c r="A21" s="21" t="s">
        <v>31</v>
      </c>
      <c r="B21" s="19">
        <v>0</v>
      </c>
      <c r="C21" s="19"/>
      <c r="D21" s="19">
        <v>0</v>
      </c>
      <c r="F21" s="16" t="s">
        <v>31</v>
      </c>
      <c r="G21" s="14">
        <v>2500</v>
      </c>
      <c r="H21" s="14">
        <v>5000</v>
      </c>
      <c r="I21" s="14">
        <v>3750</v>
      </c>
    </row>
    <row r="22" spans="1:9" x14ac:dyDescent="0.25">
      <c r="A22" s="21" t="s">
        <v>22</v>
      </c>
      <c r="B22" s="19">
        <v>13200</v>
      </c>
      <c r="C22" s="19">
        <v>10800</v>
      </c>
      <c r="D22" s="19">
        <v>24000</v>
      </c>
      <c r="F22" s="16" t="s">
        <v>41</v>
      </c>
      <c r="G22" s="14">
        <v>4500</v>
      </c>
      <c r="H22" s="14"/>
      <c r="I22" s="14">
        <v>4500</v>
      </c>
    </row>
    <row r="23" spans="1:9" x14ac:dyDescent="0.25">
      <c r="A23" s="9" t="s">
        <v>67</v>
      </c>
      <c r="B23" s="19">
        <v>35000</v>
      </c>
      <c r="C23" s="19">
        <v>14400</v>
      </c>
      <c r="D23" s="19">
        <v>49400</v>
      </c>
      <c r="F23" s="16" t="s">
        <v>22</v>
      </c>
      <c r="G23" s="14"/>
      <c r="H23" s="14">
        <v>15600</v>
      </c>
      <c r="I23" s="14">
        <v>15600</v>
      </c>
    </row>
    <row r="24" spans="1:9" x14ac:dyDescent="0.25">
      <c r="A24" s="21" t="s">
        <v>13</v>
      </c>
      <c r="B24" s="19"/>
      <c r="C24" s="19">
        <v>14400</v>
      </c>
      <c r="D24" s="19">
        <v>14400</v>
      </c>
      <c r="F24" s="9" t="s">
        <v>35</v>
      </c>
      <c r="G24" s="14">
        <v>8966.6666666666661</v>
      </c>
      <c r="H24" s="14">
        <v>5650</v>
      </c>
      <c r="I24" s="14">
        <v>7640</v>
      </c>
    </row>
    <row r="25" spans="1:9" x14ac:dyDescent="0.25">
      <c r="A25" s="22" t="s">
        <v>31</v>
      </c>
      <c r="B25" s="20">
        <v>35000</v>
      </c>
      <c r="C25" s="20"/>
      <c r="D25" s="20">
        <v>35000</v>
      </c>
      <c r="F25" s="16" t="s">
        <v>13</v>
      </c>
      <c r="G25" s="14">
        <v>4400</v>
      </c>
      <c r="H25" s="14">
        <v>1600</v>
      </c>
      <c r="I25" s="14">
        <v>3466.6666666666665</v>
      </c>
    </row>
    <row r="26" spans="1:9" x14ac:dyDescent="0.25">
      <c r="A26" s="21" t="s">
        <v>41</v>
      </c>
      <c r="B26" s="19">
        <v>0</v>
      </c>
      <c r="C26" s="19"/>
      <c r="D26" s="19">
        <v>0</v>
      </c>
      <c r="F26" s="16" t="s">
        <v>31</v>
      </c>
      <c r="G26" s="14">
        <v>0</v>
      </c>
      <c r="H26" s="14">
        <v>15000</v>
      </c>
      <c r="I26" s="14">
        <v>7500</v>
      </c>
    </row>
    <row r="27" spans="1:9" x14ac:dyDescent="0.25">
      <c r="A27" s="21" t="s">
        <v>22</v>
      </c>
      <c r="B27" s="19">
        <v>0</v>
      </c>
      <c r="C27" s="19"/>
      <c r="D27" s="19">
        <v>0</v>
      </c>
      <c r="F27" s="16" t="s">
        <v>41</v>
      </c>
      <c r="G27" s="14">
        <v>30600</v>
      </c>
      <c r="H27" s="14">
        <v>3600</v>
      </c>
      <c r="I27" s="14">
        <v>17100</v>
      </c>
    </row>
    <row r="28" spans="1:9" x14ac:dyDescent="0.25">
      <c r="A28" s="9" t="s">
        <v>14</v>
      </c>
      <c r="B28" s="19">
        <v>27000</v>
      </c>
      <c r="C28" s="19">
        <v>28300</v>
      </c>
      <c r="D28" s="19">
        <v>55300</v>
      </c>
      <c r="F28" s="16" t="s">
        <v>22</v>
      </c>
      <c r="G28" s="14">
        <v>7200</v>
      </c>
      <c r="H28" s="14">
        <v>2400</v>
      </c>
      <c r="I28" s="14">
        <v>5600</v>
      </c>
    </row>
    <row r="29" spans="1:9" x14ac:dyDescent="0.25">
      <c r="A29" s="21" t="s">
        <v>13</v>
      </c>
      <c r="B29" s="19"/>
      <c r="C29" s="19">
        <v>4800</v>
      </c>
      <c r="D29" s="19">
        <v>4800</v>
      </c>
      <c r="F29" s="9" t="s">
        <v>18</v>
      </c>
      <c r="G29" s="14">
        <v>5333.333333333333</v>
      </c>
      <c r="H29" s="14">
        <v>3600</v>
      </c>
      <c r="I29" s="14">
        <v>4640</v>
      </c>
    </row>
    <row r="30" spans="1:9" x14ac:dyDescent="0.25">
      <c r="A30" s="21" t="s">
        <v>31</v>
      </c>
      <c r="B30" s="19"/>
      <c r="C30" s="19">
        <v>17500</v>
      </c>
      <c r="D30" s="19">
        <v>17500</v>
      </c>
      <c r="F30" s="16" t="s">
        <v>13</v>
      </c>
      <c r="G30" s="14">
        <v>1600</v>
      </c>
      <c r="H30" s="14">
        <v>0</v>
      </c>
      <c r="I30" s="14">
        <v>800</v>
      </c>
    </row>
    <row r="31" spans="1:9" x14ac:dyDescent="0.25">
      <c r="A31" s="21" t="s">
        <v>41</v>
      </c>
      <c r="B31" s="19">
        <v>16200</v>
      </c>
      <c r="C31" s="19"/>
      <c r="D31" s="19">
        <v>16200</v>
      </c>
      <c r="F31" s="16" t="s">
        <v>41</v>
      </c>
      <c r="G31" s="14"/>
      <c r="H31" s="14">
        <v>7200</v>
      </c>
      <c r="I31" s="14">
        <v>7200</v>
      </c>
    </row>
    <row r="32" spans="1:9" x14ac:dyDescent="0.25">
      <c r="A32" s="21" t="s">
        <v>22</v>
      </c>
      <c r="B32" s="19">
        <v>10800</v>
      </c>
      <c r="C32" s="19">
        <v>6000</v>
      </c>
      <c r="D32" s="19">
        <v>16800</v>
      </c>
      <c r="F32" s="16" t="s">
        <v>22</v>
      </c>
      <c r="G32" s="14">
        <v>7200</v>
      </c>
      <c r="H32" s="14"/>
      <c r="I32" s="14">
        <v>7200</v>
      </c>
    </row>
    <row r="33" spans="1:9" x14ac:dyDescent="0.25">
      <c r="A33" s="9" t="s">
        <v>111</v>
      </c>
      <c r="B33" s="19">
        <v>161300</v>
      </c>
      <c r="C33" s="19">
        <v>103900</v>
      </c>
      <c r="D33" s="19">
        <v>265200</v>
      </c>
      <c r="F33" s="9" t="s">
        <v>111</v>
      </c>
      <c r="G33" s="14">
        <v>8065</v>
      </c>
      <c r="H33" s="14">
        <v>6926.666666666667</v>
      </c>
      <c r="I33" s="14">
        <v>7577.1428571428569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D6ACC-62EB-4FBB-8619-E43F5C718CAC}">
  <dimension ref="A1:O36"/>
  <sheetViews>
    <sheetView workbookViewId="0">
      <selection activeCell="A2" sqref="A2:O36"/>
    </sheetView>
  </sheetViews>
  <sheetFormatPr defaultRowHeight="15" x14ac:dyDescent="0.25"/>
  <cols>
    <col min="1" max="1" width="11.140625" bestFit="1" customWidth="1"/>
    <col min="2" max="2" width="16.140625" bestFit="1" customWidth="1"/>
    <col min="3" max="3" width="6.7109375" bestFit="1" customWidth="1"/>
    <col min="4" max="4" width="10" bestFit="1" customWidth="1"/>
    <col min="5" max="5" width="20.28515625" bestFit="1" customWidth="1"/>
    <col min="6" max="6" width="12.5703125" bestFit="1" customWidth="1"/>
    <col min="7" max="7" width="11.7109375" bestFit="1" customWidth="1"/>
    <col min="8" max="8" width="15.140625" bestFit="1" customWidth="1"/>
    <col min="9" max="9" width="13.5703125" bestFit="1" customWidth="1"/>
    <col min="10" max="10" width="10.5703125" bestFit="1" customWidth="1"/>
    <col min="11" max="11" width="19" bestFit="1" customWidth="1"/>
    <col min="12" max="12" width="32" bestFit="1" customWidth="1"/>
    <col min="13" max="13" width="11.140625" bestFit="1" customWidth="1"/>
    <col min="14" max="14" width="16.7109375" bestFit="1" customWidth="1"/>
    <col min="15" max="15" width="11.42578125" bestFit="1" customWidth="1"/>
  </cols>
  <sheetData>
    <row r="1" spans="1:15" x14ac:dyDescent="0.25">
      <c r="A1" s="1" t="s">
        <v>107</v>
      </c>
      <c r="B1" s="1" t="s">
        <v>0</v>
      </c>
      <c r="C1" s="1" t="s">
        <v>1</v>
      </c>
      <c r="D1" s="1" t="s">
        <v>2</v>
      </c>
      <c r="E1" s="1" t="s">
        <v>3</v>
      </c>
      <c r="F1" s="1" t="s">
        <v>4</v>
      </c>
      <c r="G1" s="1" t="s">
        <v>5</v>
      </c>
      <c r="H1" s="1" t="s">
        <v>6</v>
      </c>
      <c r="I1" s="1" t="s">
        <v>7</v>
      </c>
      <c r="J1" s="1" t="s">
        <v>8</v>
      </c>
      <c r="K1" s="1" t="s">
        <v>9</v>
      </c>
      <c r="L1" s="1" t="s">
        <v>108</v>
      </c>
      <c r="M1" s="7" t="s">
        <v>109</v>
      </c>
      <c r="N1" s="1" t="s">
        <v>115</v>
      </c>
      <c r="O1" s="1" t="s">
        <v>119</v>
      </c>
    </row>
    <row r="2" spans="1:15" x14ac:dyDescent="0.25">
      <c r="A2" s="2" t="s">
        <v>10</v>
      </c>
      <c r="B2" s="2" t="s">
        <v>11</v>
      </c>
      <c r="C2" s="2">
        <v>59</v>
      </c>
      <c r="D2" s="2" t="s">
        <v>12</v>
      </c>
      <c r="E2" s="2" t="s">
        <v>13</v>
      </c>
      <c r="F2" s="3">
        <v>45235</v>
      </c>
      <c r="G2" s="3">
        <v>45425</v>
      </c>
      <c r="H2" s="2">
        <v>800</v>
      </c>
      <c r="I2" s="2">
        <v>25</v>
      </c>
      <c r="J2" s="2" t="s">
        <v>14</v>
      </c>
      <c r="K2" s="2" t="s">
        <v>15</v>
      </c>
      <c r="L2" s="5">
        <f>ROUNDDOWN((Table13458[[#This Row],[End_Date]]-Table13458[[#This Row],[Start_Date]])/30,0)</f>
        <v>6</v>
      </c>
      <c r="M2" s="6" t="str">
        <f>IF(Table13458[[#This Row],[Referred_By]]&lt;&gt;"","YES","NO")</f>
        <v>YES</v>
      </c>
      <c r="N2" s="11">
        <f>Table13458[[#This Row],[Monthly_Fee]]*Table13458[[#This Row],[Membership_Duration_Months]]</f>
        <v>4800</v>
      </c>
      <c r="O2" s="11" t="str">
        <f>IF(AND(Table13458[[#This Row],[Age]]&gt;=18,Table13458[[#This Row],[Age]]&lt;=30),"Youth",
   IF(AND(Table13458[[#This Row],[Age]]&gt;=31,Table13458[[#This Row],[Age]]&lt;=45),"Adult",
   IF(Table13458[[#This Row],[Age]]&gt;=46,"Senior","")))</f>
        <v>Senior</v>
      </c>
    </row>
    <row r="3" spans="1:15" x14ac:dyDescent="0.25">
      <c r="A3" s="2" t="s">
        <v>16</v>
      </c>
      <c r="B3" s="2" t="s">
        <v>17</v>
      </c>
      <c r="C3" s="2">
        <v>27</v>
      </c>
      <c r="D3" s="2" t="s">
        <v>12</v>
      </c>
      <c r="E3" s="2" t="s">
        <v>13</v>
      </c>
      <c r="F3" s="3">
        <v>45714</v>
      </c>
      <c r="G3" s="3">
        <v>45740</v>
      </c>
      <c r="H3" s="2">
        <v>800</v>
      </c>
      <c r="I3" s="2">
        <v>20</v>
      </c>
      <c r="J3" s="2" t="s">
        <v>18</v>
      </c>
      <c r="K3" s="2" t="s">
        <v>19</v>
      </c>
      <c r="L3" s="5">
        <f>ROUNDDOWN((Table13458[[#This Row],[End_Date]]-Table13458[[#This Row],[Start_Date]])/30,0)</f>
        <v>0</v>
      </c>
      <c r="M3" s="6" t="str">
        <f>IF(Table13458[[#This Row],[Referred_By]]&lt;&gt;"","YES","NO")</f>
        <v>YES</v>
      </c>
      <c r="N3" s="11">
        <f>Table13458[[#This Row],[Monthly_Fee]]*Table13458[[#This Row],[Membership_Duration_Months]]</f>
        <v>0</v>
      </c>
      <c r="O3" s="11" t="str">
        <f>IF(AND(Table13458[[#This Row],[Age]]&gt;=18,Table13458[[#This Row],[Age]]&lt;=30),"Youth",
   IF(AND(Table13458[[#This Row],[Age]]&gt;=31,Table13458[[#This Row],[Age]]&lt;=45),"Adult",
   IF(Table13458[[#This Row],[Age]]&gt;=46,"Senior","")))</f>
        <v>Youth</v>
      </c>
    </row>
    <row r="4" spans="1:15" x14ac:dyDescent="0.25">
      <c r="A4" s="2" t="s">
        <v>20</v>
      </c>
      <c r="B4" s="2" t="s">
        <v>21</v>
      </c>
      <c r="C4" s="2">
        <v>24</v>
      </c>
      <c r="D4" s="2" t="s">
        <v>12</v>
      </c>
      <c r="E4" s="2" t="s">
        <v>22</v>
      </c>
      <c r="F4" s="3">
        <v>45191</v>
      </c>
      <c r="G4" s="3">
        <v>45371</v>
      </c>
      <c r="H4" s="2">
        <v>1200</v>
      </c>
      <c r="I4" s="2">
        <v>18</v>
      </c>
      <c r="J4" s="2" t="s">
        <v>23</v>
      </c>
      <c r="K4" s="2" t="s">
        <v>24</v>
      </c>
      <c r="L4" s="5">
        <f>ROUNDDOWN((Table13458[[#This Row],[End_Date]]-Table13458[[#This Row],[Start_Date]])/30,0)</f>
        <v>6</v>
      </c>
      <c r="M4" s="6" t="str">
        <f>IF(Table13458[[#This Row],[Referred_By]]&lt;&gt;"","YES","NO")</f>
        <v>YES</v>
      </c>
      <c r="N4" s="11">
        <f>Table13458[[#This Row],[Monthly_Fee]]*Table13458[[#This Row],[Membership_Duration_Months]]</f>
        <v>7200</v>
      </c>
      <c r="O4" s="11" t="str">
        <f>IF(AND(Table13458[[#This Row],[Age]]&gt;=18,Table13458[[#This Row],[Age]]&lt;=30),"Youth",
   IF(AND(Table13458[[#This Row],[Age]]&gt;=31,Table13458[[#This Row],[Age]]&lt;=45),"Adult",
   IF(Table13458[[#This Row],[Age]]&gt;=46,"Senior","")))</f>
        <v>Youth</v>
      </c>
    </row>
    <row r="5" spans="1:15" x14ac:dyDescent="0.25">
      <c r="A5" s="2" t="s">
        <v>25</v>
      </c>
      <c r="B5" s="2" t="s">
        <v>26</v>
      </c>
      <c r="C5" s="2">
        <v>31</v>
      </c>
      <c r="D5" s="2" t="s">
        <v>27</v>
      </c>
      <c r="E5" s="2" t="s">
        <v>22</v>
      </c>
      <c r="F5" s="3">
        <v>45479</v>
      </c>
      <c r="G5" s="3">
        <v>45587</v>
      </c>
      <c r="H5" s="2">
        <v>1200</v>
      </c>
      <c r="I5" s="2">
        <v>16</v>
      </c>
      <c r="J5" s="2" t="s">
        <v>23</v>
      </c>
      <c r="K5" s="2" t="s">
        <v>28</v>
      </c>
      <c r="L5" s="5">
        <f>ROUNDDOWN((Table13458[[#This Row],[End_Date]]-Table13458[[#This Row],[Start_Date]])/30,0)</f>
        <v>3</v>
      </c>
      <c r="M5" s="6" t="str">
        <f>IF(Table13458[[#This Row],[Referred_By]]&lt;&gt;"","YES","NO")</f>
        <v>YES</v>
      </c>
      <c r="N5" s="11">
        <f>Table13458[[#This Row],[Monthly_Fee]]*Table13458[[#This Row],[Membership_Duration_Months]]</f>
        <v>3600</v>
      </c>
      <c r="O5" s="11" t="str">
        <f>IF(AND(Table13458[[#This Row],[Age]]&gt;=18,Table13458[[#This Row],[Age]]&lt;=30),"Youth",
   IF(AND(Table13458[[#This Row],[Age]]&gt;=31,Table13458[[#This Row],[Age]]&lt;=45),"Adult",
   IF(Table13458[[#This Row],[Age]]&gt;=46,"Senior","")))</f>
        <v>Adult</v>
      </c>
    </row>
    <row r="6" spans="1:15" x14ac:dyDescent="0.25">
      <c r="A6" s="2" t="s">
        <v>29</v>
      </c>
      <c r="B6" s="2" t="s">
        <v>30</v>
      </c>
      <c r="C6" s="2">
        <v>19</v>
      </c>
      <c r="D6" s="2" t="s">
        <v>12</v>
      </c>
      <c r="E6" s="2" t="s">
        <v>31</v>
      </c>
      <c r="F6" s="3">
        <v>45286</v>
      </c>
      <c r="G6" s="3">
        <v>45501</v>
      </c>
      <c r="H6" s="2">
        <v>2500</v>
      </c>
      <c r="I6" s="2">
        <v>12</v>
      </c>
      <c r="J6" s="2" t="s">
        <v>14</v>
      </c>
      <c r="K6" s="2" t="s">
        <v>32</v>
      </c>
      <c r="L6" s="5">
        <f>ROUNDDOWN((Table13458[[#This Row],[End_Date]]-Table13458[[#This Row],[Start_Date]])/30,0)</f>
        <v>7</v>
      </c>
      <c r="M6" s="6" t="str">
        <f>IF(Table13458[[#This Row],[Referred_By]]&lt;&gt;"","YES","NO")</f>
        <v>YES</v>
      </c>
      <c r="N6" s="11">
        <f>Table13458[[#This Row],[Monthly_Fee]]*Table13458[[#This Row],[Membership_Duration_Months]]</f>
        <v>17500</v>
      </c>
      <c r="O6" s="11" t="str">
        <f>IF(AND(Table13458[[#This Row],[Age]]&gt;=18,Table13458[[#This Row],[Age]]&lt;=30),"Youth",
   IF(AND(Table13458[[#This Row],[Age]]&gt;=31,Table13458[[#This Row],[Age]]&lt;=45),"Adult",
   IF(Table13458[[#This Row],[Age]]&gt;=46,"Senior","")))</f>
        <v>Youth</v>
      </c>
    </row>
    <row r="7" spans="1:15" x14ac:dyDescent="0.25">
      <c r="A7" s="2" t="s">
        <v>33</v>
      </c>
      <c r="B7" s="2" t="s">
        <v>34</v>
      </c>
      <c r="C7" s="2">
        <v>40</v>
      </c>
      <c r="D7" s="2" t="s">
        <v>12</v>
      </c>
      <c r="E7" s="2" t="s">
        <v>13</v>
      </c>
      <c r="F7" s="3">
        <v>45317</v>
      </c>
      <c r="G7" s="3">
        <v>45392</v>
      </c>
      <c r="H7" s="2">
        <v>800</v>
      </c>
      <c r="I7" s="2">
        <v>14</v>
      </c>
      <c r="J7" s="2" t="s">
        <v>35</v>
      </c>
      <c r="K7" s="2" t="s">
        <v>36</v>
      </c>
      <c r="L7" s="5">
        <f>ROUNDDOWN((Table13458[[#This Row],[End_Date]]-Table13458[[#This Row],[Start_Date]])/30,0)</f>
        <v>2</v>
      </c>
      <c r="M7" s="6" t="str">
        <f>IF(Table13458[[#This Row],[Referred_By]]&lt;&gt;"","YES","NO")</f>
        <v>YES</v>
      </c>
      <c r="N7" s="11">
        <f>Table13458[[#This Row],[Monthly_Fee]]*Table13458[[#This Row],[Membership_Duration_Months]]</f>
        <v>1600</v>
      </c>
      <c r="O7" s="11" t="str">
        <f>IF(AND(Table13458[[#This Row],[Age]]&gt;=18,Table13458[[#This Row],[Age]]&lt;=30),"Youth",
   IF(AND(Table13458[[#This Row],[Age]]&gt;=31,Table13458[[#This Row],[Age]]&lt;=45),"Adult",
   IF(Table13458[[#This Row],[Age]]&gt;=46,"Senior","")))</f>
        <v>Adult</v>
      </c>
    </row>
    <row r="8" spans="1:15" x14ac:dyDescent="0.25">
      <c r="A8" s="2" t="s">
        <v>43</v>
      </c>
      <c r="B8" s="2" t="s">
        <v>44</v>
      </c>
      <c r="C8" s="2">
        <v>42</v>
      </c>
      <c r="D8" s="2" t="s">
        <v>12</v>
      </c>
      <c r="E8" s="2" t="s">
        <v>13</v>
      </c>
      <c r="F8" s="3">
        <v>45569</v>
      </c>
      <c r="G8" s="3">
        <v>45582</v>
      </c>
      <c r="H8" s="2">
        <v>800</v>
      </c>
      <c r="I8" s="2">
        <v>3</v>
      </c>
      <c r="J8" s="2" t="s">
        <v>42</v>
      </c>
      <c r="K8" s="2" t="s">
        <v>45</v>
      </c>
      <c r="L8" s="5">
        <f>ROUNDDOWN((Table13458[[#This Row],[End_Date]]-Table13458[[#This Row],[Start_Date]])/30,0)</f>
        <v>0</v>
      </c>
      <c r="M8" s="6" t="str">
        <f>IF(Table13458[[#This Row],[Referred_By]]&lt;&gt;"","YES","NO")</f>
        <v>YES</v>
      </c>
      <c r="N8" s="11">
        <f>Table13458[[#This Row],[Monthly_Fee]]*Table13458[[#This Row],[Membership_Duration_Months]]</f>
        <v>0</v>
      </c>
      <c r="O8" s="11" t="str">
        <f>IF(AND(Table13458[[#This Row],[Age]]&gt;=18,Table13458[[#This Row],[Age]]&lt;=30),"Youth",
   IF(AND(Table13458[[#This Row],[Age]]&gt;=31,Table13458[[#This Row],[Age]]&lt;=45),"Adult",
   IF(Table13458[[#This Row],[Age]]&gt;=46,"Senior","")))</f>
        <v>Adult</v>
      </c>
    </row>
    <row r="9" spans="1:15" x14ac:dyDescent="0.25">
      <c r="A9" s="2" t="s">
        <v>46</v>
      </c>
      <c r="B9" s="2" t="s">
        <v>47</v>
      </c>
      <c r="C9" s="2">
        <v>37</v>
      </c>
      <c r="D9" s="2" t="s">
        <v>12</v>
      </c>
      <c r="E9" s="2" t="s">
        <v>22</v>
      </c>
      <c r="F9" s="3">
        <v>45202</v>
      </c>
      <c r="G9" s="3">
        <v>45280</v>
      </c>
      <c r="H9" s="2">
        <v>1200</v>
      </c>
      <c r="I9" s="2">
        <v>29</v>
      </c>
      <c r="J9" s="2" t="s">
        <v>35</v>
      </c>
      <c r="K9" s="2" t="s">
        <v>48</v>
      </c>
      <c r="L9" s="5">
        <f>ROUNDDOWN((Table13458[[#This Row],[End_Date]]-Table13458[[#This Row],[Start_Date]])/30,0)</f>
        <v>2</v>
      </c>
      <c r="M9" s="6" t="str">
        <f>IF(Table13458[[#This Row],[Referred_By]]&lt;&gt;"","YES","NO")</f>
        <v>YES</v>
      </c>
      <c r="N9" s="11">
        <f>Table13458[[#This Row],[Monthly_Fee]]*Table13458[[#This Row],[Membership_Duration_Months]]</f>
        <v>2400</v>
      </c>
      <c r="O9" s="11" t="str">
        <f>IF(AND(Table13458[[#This Row],[Age]]&gt;=18,Table13458[[#This Row],[Age]]&lt;=30),"Youth",
   IF(AND(Table13458[[#This Row],[Age]]&gt;=31,Table13458[[#This Row],[Age]]&lt;=45),"Adult",
   IF(Table13458[[#This Row],[Age]]&gt;=46,"Senior","")))</f>
        <v>Adult</v>
      </c>
    </row>
    <row r="10" spans="1:15" x14ac:dyDescent="0.25">
      <c r="A10" s="2" t="s">
        <v>49</v>
      </c>
      <c r="B10" s="2" t="s">
        <v>50</v>
      </c>
      <c r="C10" s="2">
        <v>48</v>
      </c>
      <c r="D10" s="2" t="s">
        <v>27</v>
      </c>
      <c r="E10" s="2" t="s">
        <v>22</v>
      </c>
      <c r="F10" s="3">
        <v>45297</v>
      </c>
      <c r="G10" s="3">
        <v>45459</v>
      </c>
      <c r="H10" s="2">
        <v>1200</v>
      </c>
      <c r="I10" s="2">
        <v>13</v>
      </c>
      <c r="J10" s="2" t="s">
        <v>14</v>
      </c>
      <c r="K10" s="2" t="s">
        <v>51</v>
      </c>
      <c r="L10" s="5">
        <f>ROUNDDOWN((Table13458[[#This Row],[End_Date]]-Table13458[[#This Row],[Start_Date]])/30,0)</f>
        <v>5</v>
      </c>
      <c r="M10" s="6" t="str">
        <f>IF(Table13458[[#This Row],[Referred_By]]&lt;&gt;"","YES","NO")</f>
        <v>YES</v>
      </c>
      <c r="N10" s="11">
        <f>Table13458[[#This Row],[Monthly_Fee]]*Table13458[[#This Row],[Membership_Duration_Months]]</f>
        <v>6000</v>
      </c>
      <c r="O10" s="11" t="str">
        <f>IF(AND(Table13458[[#This Row],[Age]]&gt;=18,Table13458[[#This Row],[Age]]&lt;=30),"Youth",
   IF(AND(Table13458[[#This Row],[Age]]&gt;=31,Table13458[[#This Row],[Age]]&lt;=45),"Adult",
   IF(Table13458[[#This Row],[Age]]&gt;=46,"Senior","")))</f>
        <v>Senior</v>
      </c>
    </row>
    <row r="11" spans="1:15" x14ac:dyDescent="0.25">
      <c r="A11" s="2" t="s">
        <v>52</v>
      </c>
      <c r="B11" s="2" t="s">
        <v>53</v>
      </c>
      <c r="C11" s="2">
        <v>36</v>
      </c>
      <c r="D11" s="2" t="s">
        <v>12</v>
      </c>
      <c r="E11" s="2" t="s">
        <v>22</v>
      </c>
      <c r="F11" s="3">
        <v>45154</v>
      </c>
      <c r="G11" s="3">
        <v>45568</v>
      </c>
      <c r="H11" s="2">
        <v>1200</v>
      </c>
      <c r="I11" s="2">
        <v>19</v>
      </c>
      <c r="J11" s="2" t="s">
        <v>42</v>
      </c>
      <c r="K11" s="2" t="s">
        <v>54</v>
      </c>
      <c r="L11" s="5">
        <f>ROUNDDOWN((Table13458[[#This Row],[End_Date]]-Table13458[[#This Row],[Start_Date]])/30,0)</f>
        <v>13</v>
      </c>
      <c r="M11" s="6" t="str">
        <f>IF(Table13458[[#This Row],[Referred_By]]&lt;&gt;"","YES","NO")</f>
        <v>YES</v>
      </c>
      <c r="N11" s="11">
        <f>Table13458[[#This Row],[Monthly_Fee]]*Table13458[[#This Row],[Membership_Duration_Months]]</f>
        <v>15600</v>
      </c>
      <c r="O11" s="11" t="str">
        <f>IF(AND(Table13458[[#This Row],[Age]]&gt;=18,Table13458[[#This Row],[Age]]&lt;=30),"Youth",
   IF(AND(Table13458[[#This Row],[Age]]&gt;=31,Table13458[[#This Row],[Age]]&lt;=45),"Adult",
   IF(Table13458[[#This Row],[Age]]&gt;=46,"Senior","")))</f>
        <v>Adult</v>
      </c>
    </row>
    <row r="12" spans="1:15" x14ac:dyDescent="0.25">
      <c r="A12" s="2" t="s">
        <v>70</v>
      </c>
      <c r="B12" s="2" t="s">
        <v>71</v>
      </c>
      <c r="C12" s="2">
        <v>28</v>
      </c>
      <c r="D12" s="2" t="s">
        <v>12</v>
      </c>
      <c r="E12" s="2" t="s">
        <v>31</v>
      </c>
      <c r="F12" s="3">
        <v>45417</v>
      </c>
      <c r="G12" s="3">
        <v>45608</v>
      </c>
      <c r="H12" s="2">
        <v>2500</v>
      </c>
      <c r="I12" s="2">
        <v>21</v>
      </c>
      <c r="J12" s="2" t="s">
        <v>35</v>
      </c>
      <c r="K12" s="2" t="s">
        <v>72</v>
      </c>
      <c r="L12" s="5">
        <f>ROUNDDOWN((Table13458[[#This Row],[End_Date]]-Table13458[[#This Row],[Start_Date]])/30,0)</f>
        <v>6</v>
      </c>
      <c r="M12" s="6" t="str">
        <f>IF(Table13458[[#This Row],[Referred_By]]&lt;&gt;"","YES","NO")</f>
        <v>YES</v>
      </c>
      <c r="N12" s="11">
        <f>Table13458[[#This Row],[Monthly_Fee]]*Table13458[[#This Row],[Membership_Duration_Months]]</f>
        <v>15000</v>
      </c>
      <c r="O12" s="11" t="str">
        <f>IF(AND(Table13458[[#This Row],[Age]]&gt;=18,Table13458[[#This Row],[Age]]&lt;=30),"Youth",
   IF(AND(Table13458[[#This Row],[Age]]&gt;=31,Table13458[[#This Row],[Age]]&lt;=45),"Adult",
   IF(Table13458[[#This Row],[Age]]&gt;=46,"Senior","")))</f>
        <v>Youth</v>
      </c>
    </row>
    <row r="13" spans="1:15" x14ac:dyDescent="0.25">
      <c r="A13" s="2" t="s">
        <v>81</v>
      </c>
      <c r="B13" s="2" t="s">
        <v>82</v>
      </c>
      <c r="C13" s="2">
        <v>53</v>
      </c>
      <c r="D13" s="2" t="s">
        <v>12</v>
      </c>
      <c r="E13" s="2" t="s">
        <v>41</v>
      </c>
      <c r="F13" s="3">
        <v>45286</v>
      </c>
      <c r="G13" s="3">
        <v>45372</v>
      </c>
      <c r="H13" s="2">
        <v>1800</v>
      </c>
      <c r="I13" s="2">
        <v>17</v>
      </c>
      <c r="J13" s="2" t="s">
        <v>35</v>
      </c>
      <c r="K13" s="2" t="s">
        <v>83</v>
      </c>
      <c r="L13" s="5">
        <f>ROUNDDOWN((Table13458[[#This Row],[End_Date]]-Table13458[[#This Row],[Start_Date]])/30,0)</f>
        <v>2</v>
      </c>
      <c r="M13" s="6" t="str">
        <f>IF(Table13458[[#This Row],[Referred_By]]&lt;&gt;"","YES","NO")</f>
        <v>YES</v>
      </c>
      <c r="N13" s="11">
        <f>Table13458[[#This Row],[Monthly_Fee]]*Table13458[[#This Row],[Membership_Duration_Months]]</f>
        <v>3600</v>
      </c>
      <c r="O13" s="11" t="str">
        <f>IF(AND(Table13458[[#This Row],[Age]]&gt;=18,Table13458[[#This Row],[Age]]&lt;=30),"Youth",
   IF(AND(Table13458[[#This Row],[Age]]&gt;=31,Table13458[[#This Row],[Age]]&lt;=45),"Adult",
   IF(Table13458[[#This Row],[Age]]&gt;=46,"Senior","")))</f>
        <v>Senior</v>
      </c>
    </row>
    <row r="14" spans="1:15" x14ac:dyDescent="0.25">
      <c r="A14" s="2" t="s">
        <v>92</v>
      </c>
      <c r="B14" s="2" t="s">
        <v>93</v>
      </c>
      <c r="C14" s="2">
        <v>31</v>
      </c>
      <c r="D14" s="2" t="s">
        <v>27</v>
      </c>
      <c r="E14" s="2" t="s">
        <v>31</v>
      </c>
      <c r="F14" s="3">
        <v>45667</v>
      </c>
      <c r="G14" s="3">
        <v>45745</v>
      </c>
      <c r="H14" s="2">
        <v>2500</v>
      </c>
      <c r="I14" s="2">
        <v>23</v>
      </c>
      <c r="J14" s="2" t="s">
        <v>42</v>
      </c>
      <c r="K14" s="2" t="s">
        <v>94</v>
      </c>
      <c r="L14" s="5">
        <f>ROUNDDOWN((Table13458[[#This Row],[End_Date]]-Table13458[[#This Row],[Start_Date]])/30,0)</f>
        <v>2</v>
      </c>
      <c r="M14" s="6" t="str">
        <f>IF(Table13458[[#This Row],[Referred_By]]&lt;&gt;"","YES","NO")</f>
        <v>YES</v>
      </c>
      <c r="N14" s="11">
        <f>Table13458[[#This Row],[Monthly_Fee]]*Table13458[[#This Row],[Membership_Duration_Months]]</f>
        <v>5000</v>
      </c>
      <c r="O14" s="11" t="str">
        <f>IF(AND(Table13458[[#This Row],[Age]]&gt;=18,Table13458[[#This Row],[Age]]&lt;=30),"Youth",
   IF(AND(Table13458[[#This Row],[Age]]&gt;=31,Table13458[[#This Row],[Age]]&lt;=45),"Adult",
   IF(Table13458[[#This Row],[Age]]&gt;=46,"Senior","")))</f>
        <v>Adult</v>
      </c>
    </row>
    <row r="15" spans="1:15" x14ac:dyDescent="0.25">
      <c r="A15" s="2" t="s">
        <v>95</v>
      </c>
      <c r="B15" s="2" t="s">
        <v>96</v>
      </c>
      <c r="C15" s="2">
        <v>52</v>
      </c>
      <c r="D15" s="2" t="s">
        <v>27</v>
      </c>
      <c r="E15" s="2" t="s">
        <v>13</v>
      </c>
      <c r="F15" s="3">
        <v>45088</v>
      </c>
      <c r="G15" s="3">
        <v>45656</v>
      </c>
      <c r="H15" s="2">
        <v>800</v>
      </c>
      <c r="I15" s="2">
        <v>9</v>
      </c>
      <c r="J15" s="2" t="s">
        <v>67</v>
      </c>
      <c r="K15" s="2" t="s">
        <v>97</v>
      </c>
      <c r="L15" s="5">
        <f>ROUNDDOWN((Table13458[[#This Row],[End_Date]]-Table13458[[#This Row],[Start_Date]])/30,0)</f>
        <v>18</v>
      </c>
      <c r="M15" s="6" t="str">
        <f>IF(Table13458[[#This Row],[Referred_By]]&lt;&gt;"","YES","NO")</f>
        <v>YES</v>
      </c>
      <c r="N15" s="11">
        <f>Table13458[[#This Row],[Monthly_Fee]]*Table13458[[#This Row],[Membership_Duration_Months]]</f>
        <v>14400</v>
      </c>
      <c r="O15" s="11" t="str">
        <f>IF(AND(Table13458[[#This Row],[Age]]&gt;=18,Table13458[[#This Row],[Age]]&lt;=30),"Youth",
   IF(AND(Table13458[[#This Row],[Age]]&gt;=31,Table13458[[#This Row],[Age]]&lt;=45),"Adult",
   IF(Table13458[[#This Row],[Age]]&gt;=46,"Senior","")))</f>
        <v>Senior</v>
      </c>
    </row>
    <row r="16" spans="1:15" x14ac:dyDescent="0.25">
      <c r="A16" s="2" t="s">
        <v>102</v>
      </c>
      <c r="B16" s="2" t="s">
        <v>103</v>
      </c>
      <c r="C16" s="2">
        <v>23</v>
      </c>
      <c r="D16" s="2" t="s">
        <v>12</v>
      </c>
      <c r="E16" s="2" t="s">
        <v>41</v>
      </c>
      <c r="F16" s="3">
        <v>45588</v>
      </c>
      <c r="G16" s="3">
        <v>45721</v>
      </c>
      <c r="H16" s="2">
        <v>1800</v>
      </c>
      <c r="I16" s="2">
        <v>23</v>
      </c>
      <c r="J16" s="2" t="s">
        <v>18</v>
      </c>
      <c r="K16" s="2" t="s">
        <v>104</v>
      </c>
      <c r="L16" s="5">
        <f>ROUNDDOWN((Table13458[[#This Row],[End_Date]]-Table13458[[#This Row],[Start_Date]])/30,0)</f>
        <v>4</v>
      </c>
      <c r="M16" s="6" t="str">
        <f>IF(Table13458[[#This Row],[Referred_By]]&lt;&gt;"","YES","NO")</f>
        <v>YES</v>
      </c>
      <c r="N16" s="11">
        <f>Table13458[[#This Row],[Monthly_Fee]]*Table13458[[#This Row],[Membership_Duration_Months]]</f>
        <v>7200</v>
      </c>
      <c r="O16" s="11" t="str">
        <f>IF(AND(Table13458[[#This Row],[Age]]&gt;=18,Table13458[[#This Row],[Age]]&lt;=30),"Youth",
   IF(AND(Table13458[[#This Row],[Age]]&gt;=31,Table13458[[#This Row],[Age]]&lt;=45),"Adult",
   IF(Table13458[[#This Row],[Age]]&gt;=46,"Senior","")))</f>
        <v>Youth</v>
      </c>
    </row>
    <row r="17" spans="1:15" x14ac:dyDescent="0.25">
      <c r="A17" s="2" t="s">
        <v>37</v>
      </c>
      <c r="B17" s="2" t="s">
        <v>38</v>
      </c>
      <c r="C17" s="2">
        <v>41</v>
      </c>
      <c r="D17" s="2" t="s">
        <v>27</v>
      </c>
      <c r="E17" s="2" t="s">
        <v>13</v>
      </c>
      <c r="F17" s="3">
        <v>45588</v>
      </c>
      <c r="G17" s="3">
        <v>45677</v>
      </c>
      <c r="H17" s="2">
        <v>800</v>
      </c>
      <c r="I17" s="2">
        <v>25</v>
      </c>
      <c r="J17" s="2" t="s">
        <v>18</v>
      </c>
      <c r="K17" s="4"/>
      <c r="L17" s="5">
        <f>ROUNDDOWN((Table13458[[#This Row],[End_Date]]-Table13458[[#This Row],[Start_Date]])/30,0)</f>
        <v>2</v>
      </c>
      <c r="M17" s="6" t="str">
        <f>IF(Table13458[[#This Row],[Referred_By]]&lt;&gt;"","YES","NO")</f>
        <v>NO</v>
      </c>
      <c r="N17" s="11">
        <f>Table13458[[#This Row],[Monthly_Fee]]*Table13458[[#This Row],[Membership_Duration_Months]]</f>
        <v>1600</v>
      </c>
      <c r="O17" s="11" t="str">
        <f>IF(AND(Table13458[[#This Row],[Age]]&gt;=18,Table13458[[#This Row],[Age]]&lt;=30),"Youth",
   IF(AND(Table13458[[#This Row],[Age]]&gt;=31,Table13458[[#This Row],[Age]]&lt;=45),"Adult",
   IF(Table13458[[#This Row],[Age]]&gt;=46,"Senior","")))</f>
        <v>Adult</v>
      </c>
    </row>
    <row r="18" spans="1:15" x14ac:dyDescent="0.25">
      <c r="A18" s="2" t="s">
        <v>39</v>
      </c>
      <c r="B18" s="2" t="s">
        <v>40</v>
      </c>
      <c r="C18" s="2">
        <v>43</v>
      </c>
      <c r="D18" s="2" t="s">
        <v>12</v>
      </c>
      <c r="E18" s="2" t="s">
        <v>41</v>
      </c>
      <c r="F18" s="3">
        <v>45450</v>
      </c>
      <c r="G18" s="3">
        <v>45563</v>
      </c>
      <c r="H18" s="2">
        <v>1800</v>
      </c>
      <c r="I18" s="2">
        <v>28</v>
      </c>
      <c r="J18" s="2" t="s">
        <v>42</v>
      </c>
      <c r="K18" s="4"/>
      <c r="L18" s="5">
        <f>ROUNDDOWN((Table13458[[#This Row],[End_Date]]-Table13458[[#This Row],[Start_Date]])/30,0)</f>
        <v>3</v>
      </c>
      <c r="M18" s="6" t="str">
        <f>IF(Table13458[[#This Row],[Referred_By]]&lt;&gt;"","YES","NO")</f>
        <v>NO</v>
      </c>
      <c r="N18" s="11">
        <f>Table13458[[#This Row],[Monthly_Fee]]*Table13458[[#This Row],[Membership_Duration_Months]]</f>
        <v>5400</v>
      </c>
      <c r="O18" s="11" t="str">
        <f>IF(AND(Table13458[[#This Row],[Age]]&gt;=18,Table13458[[#This Row],[Age]]&lt;=30),"Youth",
   IF(AND(Table13458[[#This Row],[Age]]&gt;=31,Table13458[[#This Row],[Age]]&lt;=45),"Adult",
   IF(Table13458[[#This Row],[Age]]&gt;=46,"Senior","")))</f>
        <v>Adult</v>
      </c>
    </row>
    <row r="19" spans="1:15" x14ac:dyDescent="0.25">
      <c r="A19" s="2" t="s">
        <v>55</v>
      </c>
      <c r="B19" s="2" t="s">
        <v>56</v>
      </c>
      <c r="C19" s="2">
        <v>48</v>
      </c>
      <c r="D19" s="2" t="s">
        <v>27</v>
      </c>
      <c r="E19" s="2" t="s">
        <v>41</v>
      </c>
      <c r="F19" s="3">
        <v>45556</v>
      </c>
      <c r="G19" s="3">
        <v>45641</v>
      </c>
      <c r="H19" s="2">
        <v>1800</v>
      </c>
      <c r="I19" s="2">
        <v>22</v>
      </c>
      <c r="J19" s="2" t="s">
        <v>42</v>
      </c>
      <c r="K19" s="4"/>
      <c r="L19" s="5">
        <f>ROUNDDOWN((Table13458[[#This Row],[End_Date]]-Table13458[[#This Row],[Start_Date]])/30,0)</f>
        <v>2</v>
      </c>
      <c r="M19" s="6" t="str">
        <f>IF(Table13458[[#This Row],[Referred_By]]&lt;&gt;"","YES","NO")</f>
        <v>NO</v>
      </c>
      <c r="N19" s="11">
        <f>Table13458[[#This Row],[Monthly_Fee]]*Table13458[[#This Row],[Membership_Duration_Months]]</f>
        <v>3600</v>
      </c>
      <c r="O19" s="11" t="str">
        <f>IF(AND(Table13458[[#This Row],[Age]]&gt;=18,Table13458[[#This Row],[Age]]&lt;=30),"Youth",
   IF(AND(Table13458[[#This Row],[Age]]&gt;=31,Table13458[[#This Row],[Age]]&lt;=45),"Adult",
   IF(Table13458[[#This Row],[Age]]&gt;=46,"Senior","")))</f>
        <v>Senior</v>
      </c>
    </row>
    <row r="20" spans="1:15" x14ac:dyDescent="0.25">
      <c r="A20" s="2" t="s">
        <v>57</v>
      </c>
      <c r="B20" s="2" t="s">
        <v>58</v>
      </c>
      <c r="C20" s="2">
        <v>39</v>
      </c>
      <c r="D20" s="2" t="s">
        <v>12</v>
      </c>
      <c r="E20" s="2" t="s">
        <v>22</v>
      </c>
      <c r="F20" s="3">
        <v>45065</v>
      </c>
      <c r="G20" s="3">
        <v>45242</v>
      </c>
      <c r="H20" s="2">
        <v>1200</v>
      </c>
      <c r="I20" s="2">
        <v>28</v>
      </c>
      <c r="J20" s="2" t="s">
        <v>35</v>
      </c>
      <c r="K20" s="4"/>
      <c r="L20" s="5">
        <f>ROUNDDOWN((Table13458[[#This Row],[End_Date]]-Table13458[[#This Row],[Start_Date]])/30,0)</f>
        <v>5</v>
      </c>
      <c r="M20" s="6" t="str">
        <f>IF(Table13458[[#This Row],[Referred_By]]&lt;&gt;"","YES","NO")</f>
        <v>NO</v>
      </c>
      <c r="N20" s="11">
        <f>Table13458[[#This Row],[Monthly_Fee]]*Table13458[[#This Row],[Membership_Duration_Months]]</f>
        <v>6000</v>
      </c>
      <c r="O20" s="11" t="str">
        <f>IF(AND(Table13458[[#This Row],[Age]]&gt;=18,Table13458[[#This Row],[Age]]&lt;=30),"Youth",
   IF(AND(Table13458[[#This Row],[Age]]&gt;=31,Table13458[[#This Row],[Age]]&lt;=45),"Adult",
   IF(Table13458[[#This Row],[Age]]&gt;=46,"Senior","")))</f>
        <v>Adult</v>
      </c>
    </row>
    <row r="21" spans="1:15" x14ac:dyDescent="0.25">
      <c r="A21" s="2" t="s">
        <v>59</v>
      </c>
      <c r="B21" s="2" t="s">
        <v>60</v>
      </c>
      <c r="C21" s="2">
        <v>44</v>
      </c>
      <c r="D21" s="2" t="s">
        <v>27</v>
      </c>
      <c r="E21" s="2" t="s">
        <v>13</v>
      </c>
      <c r="F21" s="3">
        <v>45333</v>
      </c>
      <c r="G21" s="3">
        <v>45540</v>
      </c>
      <c r="H21" s="2">
        <v>800</v>
      </c>
      <c r="I21" s="2">
        <v>8</v>
      </c>
      <c r="J21" s="2" t="s">
        <v>23</v>
      </c>
      <c r="K21" s="4"/>
      <c r="L21" s="5">
        <f>ROUNDDOWN((Table13458[[#This Row],[End_Date]]-Table13458[[#This Row],[Start_Date]])/30,0)</f>
        <v>6</v>
      </c>
      <c r="M21" s="6" t="str">
        <f>IF(Table13458[[#This Row],[Referred_By]]&lt;&gt;"","YES","NO")</f>
        <v>NO</v>
      </c>
      <c r="N21" s="11">
        <f>Table13458[[#This Row],[Monthly_Fee]]*Table13458[[#This Row],[Membership_Duration_Months]]</f>
        <v>4800</v>
      </c>
      <c r="O21" s="11" t="str">
        <f>IF(AND(Table13458[[#This Row],[Age]]&gt;=18,Table13458[[#This Row],[Age]]&lt;=30),"Youth",
   IF(AND(Table13458[[#This Row],[Age]]&gt;=31,Table13458[[#This Row],[Age]]&lt;=45),"Adult",
   IF(Table13458[[#This Row],[Age]]&gt;=46,"Senior","")))</f>
        <v>Adult</v>
      </c>
    </row>
    <row r="22" spans="1:15" x14ac:dyDescent="0.25">
      <c r="A22" s="2" t="s">
        <v>61</v>
      </c>
      <c r="B22" s="2" t="s">
        <v>62</v>
      </c>
      <c r="C22" s="2">
        <v>39</v>
      </c>
      <c r="D22" s="2" t="s">
        <v>12</v>
      </c>
      <c r="E22" s="2" t="s">
        <v>31</v>
      </c>
      <c r="F22" s="3">
        <v>45702</v>
      </c>
      <c r="G22" s="3">
        <v>45732</v>
      </c>
      <c r="H22" s="2">
        <v>2500</v>
      </c>
      <c r="I22" s="2">
        <v>14</v>
      </c>
      <c r="J22" s="2" t="s">
        <v>42</v>
      </c>
      <c r="K22" s="4"/>
      <c r="L22" s="5">
        <f>ROUNDDOWN((Table13458[[#This Row],[End_Date]]-Table13458[[#This Row],[Start_Date]])/30,0)</f>
        <v>1</v>
      </c>
      <c r="M22" s="6" t="str">
        <f>IF(Table13458[[#This Row],[Referred_By]]&lt;&gt;"","YES","NO")</f>
        <v>NO</v>
      </c>
      <c r="N22" s="11">
        <f>Table13458[[#This Row],[Monthly_Fee]]*Table13458[[#This Row],[Membership_Duration_Months]]</f>
        <v>2500</v>
      </c>
      <c r="O22" s="11" t="str">
        <f>IF(AND(Table13458[[#This Row],[Age]]&gt;=18,Table13458[[#This Row],[Age]]&lt;=30),"Youth",
   IF(AND(Table13458[[#This Row],[Age]]&gt;=31,Table13458[[#This Row],[Age]]&lt;=45),"Adult",
   IF(Table13458[[#This Row],[Age]]&gt;=46,"Senior","")))</f>
        <v>Adult</v>
      </c>
    </row>
    <row r="23" spans="1:15" x14ac:dyDescent="0.25">
      <c r="A23" s="2" t="s">
        <v>63</v>
      </c>
      <c r="B23" s="2" t="s">
        <v>64</v>
      </c>
      <c r="C23" s="2">
        <v>35</v>
      </c>
      <c r="D23" s="2" t="s">
        <v>12</v>
      </c>
      <c r="E23" s="2" t="s">
        <v>22</v>
      </c>
      <c r="F23" s="3">
        <v>45329</v>
      </c>
      <c r="G23" s="3">
        <v>45685</v>
      </c>
      <c r="H23" s="2">
        <v>1200</v>
      </c>
      <c r="I23" s="2">
        <v>25</v>
      </c>
      <c r="J23" s="2" t="s">
        <v>23</v>
      </c>
      <c r="K23" s="4"/>
      <c r="L23" s="5">
        <f>ROUNDDOWN((Table13458[[#This Row],[End_Date]]-Table13458[[#This Row],[Start_Date]])/30,0)</f>
        <v>11</v>
      </c>
      <c r="M23" s="6" t="str">
        <f>IF(Table13458[[#This Row],[Referred_By]]&lt;&gt;"","YES","NO")</f>
        <v>NO</v>
      </c>
      <c r="N23" s="11">
        <f>Table13458[[#This Row],[Monthly_Fee]]*Table13458[[#This Row],[Membership_Duration_Months]]</f>
        <v>13200</v>
      </c>
      <c r="O23" s="11" t="str">
        <f>IF(AND(Table13458[[#This Row],[Age]]&gt;=18,Table13458[[#This Row],[Age]]&lt;=30),"Youth",
   IF(AND(Table13458[[#This Row],[Age]]&gt;=31,Table13458[[#This Row],[Age]]&lt;=45),"Adult",
   IF(Table13458[[#This Row],[Age]]&gt;=46,"Senior","")))</f>
        <v>Adult</v>
      </c>
    </row>
    <row r="24" spans="1:15" x14ac:dyDescent="0.25">
      <c r="A24" s="2" t="s">
        <v>65</v>
      </c>
      <c r="B24" s="2" t="s">
        <v>66</v>
      </c>
      <c r="C24" s="2">
        <v>56</v>
      </c>
      <c r="D24" s="2" t="s">
        <v>27</v>
      </c>
      <c r="E24" s="2" t="s">
        <v>31</v>
      </c>
      <c r="F24" s="3">
        <v>45213</v>
      </c>
      <c r="G24" s="3">
        <v>45649</v>
      </c>
      <c r="H24" s="2">
        <v>2500</v>
      </c>
      <c r="I24" s="2">
        <v>13</v>
      </c>
      <c r="J24" s="2" t="s">
        <v>67</v>
      </c>
      <c r="K24" s="4"/>
      <c r="L24" s="5">
        <f>ROUNDDOWN((Table13458[[#This Row],[End_Date]]-Table13458[[#This Row],[Start_Date]])/30,0)</f>
        <v>14</v>
      </c>
      <c r="M24" s="6" t="str">
        <f>IF(Table13458[[#This Row],[Referred_By]]&lt;&gt;"","YES","NO")</f>
        <v>NO</v>
      </c>
      <c r="N24" s="11">
        <f>Table13458[[#This Row],[Monthly_Fee]]*Table13458[[#This Row],[Membership_Duration_Months]]</f>
        <v>35000</v>
      </c>
      <c r="O24" s="11" t="str">
        <f>IF(AND(Table13458[[#This Row],[Age]]&gt;=18,Table13458[[#This Row],[Age]]&lt;=30),"Youth",
   IF(AND(Table13458[[#This Row],[Age]]&gt;=31,Table13458[[#This Row],[Age]]&lt;=45),"Adult",
   IF(Table13458[[#This Row],[Age]]&gt;=46,"Senior","")))</f>
        <v>Senior</v>
      </c>
    </row>
    <row r="25" spans="1:15" x14ac:dyDescent="0.25">
      <c r="A25" s="2" t="s">
        <v>68</v>
      </c>
      <c r="B25" s="2" t="s">
        <v>69</v>
      </c>
      <c r="C25" s="2">
        <v>27</v>
      </c>
      <c r="D25" s="2" t="s">
        <v>27</v>
      </c>
      <c r="E25" s="2" t="s">
        <v>13</v>
      </c>
      <c r="F25" s="3">
        <v>45354</v>
      </c>
      <c r="G25" s="3">
        <v>45664</v>
      </c>
      <c r="H25" s="2">
        <v>800</v>
      </c>
      <c r="I25" s="2">
        <v>26</v>
      </c>
      <c r="J25" s="2" t="s">
        <v>35</v>
      </c>
      <c r="K25" s="4"/>
      <c r="L25" s="5">
        <f>ROUNDDOWN((Table13458[[#This Row],[End_Date]]-Table13458[[#This Row],[Start_Date]])/30,0)</f>
        <v>10</v>
      </c>
      <c r="M25" s="6" t="str">
        <f>IF(Table13458[[#This Row],[Referred_By]]&lt;&gt;"","YES","NO")</f>
        <v>NO</v>
      </c>
      <c r="N25" s="11">
        <f>Table13458[[#This Row],[Monthly_Fee]]*Table13458[[#This Row],[Membership_Duration_Months]]</f>
        <v>8000</v>
      </c>
      <c r="O25" s="11" t="str">
        <f>IF(AND(Table13458[[#This Row],[Age]]&gt;=18,Table13458[[#This Row],[Age]]&lt;=30),"Youth",
   IF(AND(Table13458[[#This Row],[Age]]&gt;=31,Table13458[[#This Row],[Age]]&lt;=45),"Adult",
   IF(Table13458[[#This Row],[Age]]&gt;=46,"Senior","")))</f>
        <v>Youth</v>
      </c>
    </row>
    <row r="26" spans="1:15" x14ac:dyDescent="0.25">
      <c r="A26" s="2" t="s">
        <v>73</v>
      </c>
      <c r="B26" s="2" t="s">
        <v>74</v>
      </c>
      <c r="C26" s="2">
        <v>57</v>
      </c>
      <c r="D26" s="2" t="s">
        <v>27</v>
      </c>
      <c r="E26" s="2" t="s">
        <v>41</v>
      </c>
      <c r="F26" s="3">
        <v>45146</v>
      </c>
      <c r="G26" s="3">
        <v>45674</v>
      </c>
      <c r="H26" s="2">
        <v>1800</v>
      </c>
      <c r="I26" s="2">
        <v>19</v>
      </c>
      <c r="J26" s="2" t="s">
        <v>35</v>
      </c>
      <c r="K26" s="4"/>
      <c r="L26" s="5">
        <f>ROUNDDOWN((Table13458[[#This Row],[End_Date]]-Table13458[[#This Row],[Start_Date]])/30,0)</f>
        <v>17</v>
      </c>
      <c r="M26" s="6" t="str">
        <f>IF(Table13458[[#This Row],[Referred_By]]&lt;&gt;"","YES","NO")</f>
        <v>NO</v>
      </c>
      <c r="N26" s="11">
        <f>Table13458[[#This Row],[Monthly_Fee]]*Table13458[[#This Row],[Membership_Duration_Months]]</f>
        <v>30600</v>
      </c>
      <c r="O26" s="11" t="str">
        <f>IF(AND(Table13458[[#This Row],[Age]]&gt;=18,Table13458[[#This Row],[Age]]&lt;=30),"Youth",
   IF(AND(Table13458[[#This Row],[Age]]&gt;=31,Table13458[[#This Row],[Age]]&lt;=45),"Adult",
   IF(Table13458[[#This Row],[Age]]&gt;=46,"Senior","")))</f>
        <v>Senior</v>
      </c>
    </row>
    <row r="27" spans="1:15" x14ac:dyDescent="0.25">
      <c r="A27" s="2" t="s">
        <v>75</v>
      </c>
      <c r="B27" s="2" t="s">
        <v>76</v>
      </c>
      <c r="C27" s="2">
        <v>26</v>
      </c>
      <c r="D27" s="2" t="s">
        <v>27</v>
      </c>
      <c r="E27" s="2" t="s">
        <v>41</v>
      </c>
      <c r="F27" s="3">
        <v>45320</v>
      </c>
      <c r="G27" s="3">
        <v>45616</v>
      </c>
      <c r="H27" s="2">
        <v>1800</v>
      </c>
      <c r="I27" s="2">
        <v>5</v>
      </c>
      <c r="J27" s="2" t="s">
        <v>14</v>
      </c>
      <c r="K27" s="4"/>
      <c r="L27" s="5">
        <f>ROUNDDOWN((Table13458[[#This Row],[End_Date]]-Table13458[[#This Row],[Start_Date]])/30,0)</f>
        <v>9</v>
      </c>
      <c r="M27" s="6" t="str">
        <f>IF(Table13458[[#This Row],[Referred_By]]&lt;&gt;"","YES","NO")</f>
        <v>NO</v>
      </c>
      <c r="N27" s="11">
        <f>Table13458[[#This Row],[Monthly_Fee]]*Table13458[[#This Row],[Membership_Duration_Months]]</f>
        <v>16200</v>
      </c>
      <c r="O27" s="11" t="str">
        <f>IF(AND(Table13458[[#This Row],[Age]]&gt;=18,Table13458[[#This Row],[Age]]&lt;=30),"Youth",
   IF(AND(Table13458[[#This Row],[Age]]&gt;=31,Table13458[[#This Row],[Age]]&lt;=45),"Adult",
   IF(Table13458[[#This Row],[Age]]&gt;=46,"Senior","")))</f>
        <v>Youth</v>
      </c>
    </row>
    <row r="28" spans="1:15" x14ac:dyDescent="0.25">
      <c r="A28" s="2" t="s">
        <v>77</v>
      </c>
      <c r="B28" s="2" t="s">
        <v>78</v>
      </c>
      <c r="C28" s="2">
        <v>48</v>
      </c>
      <c r="D28" s="2" t="s">
        <v>12</v>
      </c>
      <c r="E28" s="2" t="s">
        <v>41</v>
      </c>
      <c r="F28" s="3">
        <v>45451</v>
      </c>
      <c r="G28" s="3">
        <v>45455</v>
      </c>
      <c r="H28" s="2">
        <v>1800</v>
      </c>
      <c r="I28" s="2">
        <v>18</v>
      </c>
      <c r="J28" s="2" t="s">
        <v>67</v>
      </c>
      <c r="K28" s="4"/>
      <c r="L28" s="5">
        <f>ROUNDDOWN((Table13458[[#This Row],[End_Date]]-Table13458[[#This Row],[Start_Date]])/30,0)</f>
        <v>0</v>
      </c>
      <c r="M28" s="6" t="str">
        <f>IF(Table13458[[#This Row],[Referred_By]]&lt;&gt;"","YES","NO")</f>
        <v>NO</v>
      </c>
      <c r="N28" s="11">
        <f>Table13458[[#This Row],[Monthly_Fee]]*Table13458[[#This Row],[Membership_Duration_Months]]</f>
        <v>0</v>
      </c>
      <c r="O28" s="11" t="str">
        <f>IF(AND(Table13458[[#This Row],[Age]]&gt;=18,Table13458[[#This Row],[Age]]&lt;=30),"Youth",
   IF(AND(Table13458[[#This Row],[Age]]&gt;=31,Table13458[[#This Row],[Age]]&lt;=45),"Adult",
   IF(Table13458[[#This Row],[Age]]&gt;=46,"Senior","")))</f>
        <v>Senior</v>
      </c>
    </row>
    <row r="29" spans="1:15" x14ac:dyDescent="0.25">
      <c r="A29" s="2" t="s">
        <v>79</v>
      </c>
      <c r="B29" s="2" t="s">
        <v>80</v>
      </c>
      <c r="C29" s="2">
        <v>25</v>
      </c>
      <c r="D29" s="2" t="s">
        <v>27</v>
      </c>
      <c r="E29" s="2" t="s">
        <v>22</v>
      </c>
      <c r="F29" s="3">
        <v>45439</v>
      </c>
      <c r="G29" s="3">
        <v>45730</v>
      </c>
      <c r="H29" s="2">
        <v>1200</v>
      </c>
      <c r="I29" s="2">
        <v>6</v>
      </c>
      <c r="J29" s="2" t="s">
        <v>14</v>
      </c>
      <c r="K29" s="4"/>
      <c r="L29" s="5">
        <f>ROUNDDOWN((Table13458[[#This Row],[End_Date]]-Table13458[[#This Row],[Start_Date]])/30,0)</f>
        <v>9</v>
      </c>
      <c r="M29" s="6" t="str">
        <f>IF(Table13458[[#This Row],[Referred_By]]&lt;&gt;"","YES","NO")</f>
        <v>NO</v>
      </c>
      <c r="N29" s="11">
        <f>Table13458[[#This Row],[Monthly_Fee]]*Table13458[[#This Row],[Membership_Duration_Months]]</f>
        <v>10800</v>
      </c>
      <c r="O29" s="11" t="str">
        <f>IF(AND(Table13458[[#This Row],[Age]]&gt;=18,Table13458[[#This Row],[Age]]&lt;=30),"Youth",
   IF(AND(Table13458[[#This Row],[Age]]&gt;=31,Table13458[[#This Row],[Age]]&lt;=45),"Adult",
   IF(Table13458[[#This Row],[Age]]&gt;=46,"Senior","")))</f>
        <v>Youth</v>
      </c>
    </row>
    <row r="30" spans="1:15" x14ac:dyDescent="0.25">
      <c r="A30" s="2" t="s">
        <v>84</v>
      </c>
      <c r="B30" s="2" t="s">
        <v>85</v>
      </c>
      <c r="C30" s="2">
        <v>42</v>
      </c>
      <c r="D30" s="2" t="s">
        <v>27</v>
      </c>
      <c r="E30" s="2" t="s">
        <v>22</v>
      </c>
      <c r="F30" s="3">
        <v>45702</v>
      </c>
      <c r="G30" s="3">
        <v>45727</v>
      </c>
      <c r="H30" s="2">
        <v>1200</v>
      </c>
      <c r="I30" s="2">
        <v>3</v>
      </c>
      <c r="J30" s="2" t="s">
        <v>67</v>
      </c>
      <c r="K30" s="4"/>
      <c r="L30" s="5">
        <f>ROUNDDOWN((Table13458[[#This Row],[End_Date]]-Table13458[[#This Row],[Start_Date]])/30,0)</f>
        <v>0</v>
      </c>
      <c r="M30" s="6" t="str">
        <f>IF(Table13458[[#This Row],[Referred_By]]&lt;&gt;"","YES","NO")</f>
        <v>NO</v>
      </c>
      <c r="N30" s="11">
        <f>Table13458[[#This Row],[Monthly_Fee]]*Table13458[[#This Row],[Membership_Duration_Months]]</f>
        <v>0</v>
      </c>
      <c r="O30" s="11" t="str">
        <f>IF(AND(Table13458[[#This Row],[Age]]&gt;=18,Table13458[[#This Row],[Age]]&lt;=30),"Youth",
   IF(AND(Table13458[[#This Row],[Age]]&gt;=31,Table13458[[#This Row],[Age]]&lt;=45),"Adult",
   IF(Table13458[[#This Row],[Age]]&gt;=46,"Senior","")))</f>
        <v>Adult</v>
      </c>
    </row>
    <row r="31" spans="1:15" x14ac:dyDescent="0.25">
      <c r="A31" s="2" t="s">
        <v>86</v>
      </c>
      <c r="B31" s="2" t="s">
        <v>87</v>
      </c>
      <c r="C31" s="2">
        <v>24</v>
      </c>
      <c r="D31" s="2" t="s">
        <v>12</v>
      </c>
      <c r="E31" s="2" t="s">
        <v>31</v>
      </c>
      <c r="F31" s="3">
        <v>45698</v>
      </c>
      <c r="G31" s="3">
        <v>45726</v>
      </c>
      <c r="H31" s="2">
        <v>2500</v>
      </c>
      <c r="I31" s="2">
        <v>28</v>
      </c>
      <c r="J31" s="2" t="s">
        <v>35</v>
      </c>
      <c r="K31" s="4"/>
      <c r="L31" s="5">
        <f>ROUNDDOWN((Table13458[[#This Row],[End_Date]]-Table13458[[#This Row],[Start_Date]])/30,0)</f>
        <v>0</v>
      </c>
      <c r="M31" s="6" t="str">
        <f>IF(Table13458[[#This Row],[Referred_By]]&lt;&gt;"","YES","NO")</f>
        <v>NO</v>
      </c>
      <c r="N31" s="11">
        <f>Table13458[[#This Row],[Monthly_Fee]]*Table13458[[#This Row],[Membership_Duration_Months]]</f>
        <v>0</v>
      </c>
      <c r="O31" s="11" t="str">
        <f>IF(AND(Table13458[[#This Row],[Age]]&gt;=18,Table13458[[#This Row],[Age]]&lt;=30),"Youth",
   IF(AND(Table13458[[#This Row],[Age]]&gt;=31,Table13458[[#This Row],[Age]]&lt;=45),"Adult",
   IF(Table13458[[#This Row],[Age]]&gt;=46,"Senior","")))</f>
        <v>Youth</v>
      </c>
    </row>
    <row r="32" spans="1:15" x14ac:dyDescent="0.25">
      <c r="A32" s="2" t="s">
        <v>88</v>
      </c>
      <c r="B32" s="2" t="s">
        <v>89</v>
      </c>
      <c r="C32" s="2">
        <v>53</v>
      </c>
      <c r="D32" s="2" t="s">
        <v>12</v>
      </c>
      <c r="E32" s="2" t="s">
        <v>22</v>
      </c>
      <c r="F32" s="3">
        <v>45614</v>
      </c>
      <c r="G32" s="3">
        <v>45645</v>
      </c>
      <c r="H32" s="2">
        <v>1200</v>
      </c>
      <c r="I32" s="2">
        <v>23</v>
      </c>
      <c r="J32" s="2" t="s">
        <v>18</v>
      </c>
      <c r="K32" s="4"/>
      <c r="L32" s="5">
        <f>ROUNDDOWN((Table13458[[#This Row],[End_Date]]-Table13458[[#This Row],[Start_Date]])/30,0)</f>
        <v>1</v>
      </c>
      <c r="M32" s="6" t="str">
        <f>IF(Table13458[[#This Row],[Referred_By]]&lt;&gt;"","YES","NO")</f>
        <v>NO</v>
      </c>
      <c r="N32" s="11">
        <f>Table13458[[#This Row],[Monthly_Fee]]*Table13458[[#This Row],[Membership_Duration_Months]]</f>
        <v>1200</v>
      </c>
      <c r="O32" s="11" t="str">
        <f>IF(AND(Table13458[[#This Row],[Age]]&gt;=18,Table13458[[#This Row],[Age]]&lt;=30),"Youth",
   IF(AND(Table13458[[#This Row],[Age]]&gt;=31,Table13458[[#This Row],[Age]]&lt;=45),"Adult",
   IF(Table13458[[#This Row],[Age]]&gt;=46,"Senior","")))</f>
        <v>Senior</v>
      </c>
    </row>
    <row r="33" spans="1:15" x14ac:dyDescent="0.25">
      <c r="A33" s="2" t="s">
        <v>90</v>
      </c>
      <c r="B33" s="2" t="s">
        <v>91</v>
      </c>
      <c r="C33" s="2">
        <v>29</v>
      </c>
      <c r="D33" s="2" t="s">
        <v>27</v>
      </c>
      <c r="E33" s="2" t="s">
        <v>31</v>
      </c>
      <c r="F33" s="3">
        <v>45401</v>
      </c>
      <c r="G33" s="3">
        <v>45408</v>
      </c>
      <c r="H33" s="2">
        <v>2500</v>
      </c>
      <c r="I33" s="2">
        <v>8</v>
      </c>
      <c r="J33" s="2" t="s">
        <v>23</v>
      </c>
      <c r="K33" s="4"/>
      <c r="L33" s="5">
        <f>ROUNDDOWN((Table13458[[#This Row],[End_Date]]-Table13458[[#This Row],[Start_Date]])/30,0)</f>
        <v>0</v>
      </c>
      <c r="M33" s="6" t="str">
        <f>IF(Table13458[[#This Row],[Referred_By]]&lt;&gt;"","YES","NO")</f>
        <v>NO</v>
      </c>
      <c r="N33" s="11">
        <f>Table13458[[#This Row],[Monthly_Fee]]*Table13458[[#This Row],[Membership_Duration_Months]]</f>
        <v>0</v>
      </c>
      <c r="O33" s="11" t="str">
        <f>IF(AND(Table13458[[#This Row],[Age]]&gt;=18,Table13458[[#This Row],[Age]]&lt;=30),"Youth",
   IF(AND(Table13458[[#This Row],[Age]]&gt;=31,Table13458[[#This Row],[Age]]&lt;=45),"Adult",
   IF(Table13458[[#This Row],[Age]]&gt;=46,"Senior","")))</f>
        <v>Youth</v>
      </c>
    </row>
    <row r="34" spans="1:15" x14ac:dyDescent="0.25">
      <c r="A34" s="2" t="s">
        <v>98</v>
      </c>
      <c r="B34" s="2" t="s">
        <v>99</v>
      </c>
      <c r="C34" s="2">
        <v>20</v>
      </c>
      <c r="D34" s="2" t="s">
        <v>12</v>
      </c>
      <c r="E34" s="2" t="s">
        <v>22</v>
      </c>
      <c r="F34" s="3">
        <v>45391</v>
      </c>
      <c r="G34" s="3">
        <v>45604</v>
      </c>
      <c r="H34" s="2">
        <v>1200</v>
      </c>
      <c r="I34" s="2">
        <v>2</v>
      </c>
      <c r="J34" s="2" t="s">
        <v>35</v>
      </c>
      <c r="K34" s="4"/>
      <c r="L34" s="5">
        <f>ROUNDDOWN((Table13458[[#This Row],[End_Date]]-Table13458[[#This Row],[Start_Date]])/30,0)</f>
        <v>7</v>
      </c>
      <c r="M34" s="6" t="str">
        <f>IF(Table13458[[#This Row],[Referred_By]]&lt;&gt;"","YES","NO")</f>
        <v>NO</v>
      </c>
      <c r="N34" s="11">
        <f>Table13458[[#This Row],[Monthly_Fee]]*Table13458[[#This Row],[Membership_Duration_Months]]</f>
        <v>8400</v>
      </c>
      <c r="O34" s="11" t="str">
        <f>IF(AND(Table13458[[#This Row],[Age]]&gt;=18,Table13458[[#This Row],[Age]]&lt;=30),"Youth",
   IF(AND(Table13458[[#This Row],[Age]]&gt;=31,Table13458[[#This Row],[Age]]&lt;=45),"Adult",
   IF(Table13458[[#This Row],[Age]]&gt;=46,"Senior","")))</f>
        <v>Youth</v>
      </c>
    </row>
    <row r="35" spans="1:15" x14ac:dyDescent="0.25">
      <c r="A35" s="2" t="s">
        <v>100</v>
      </c>
      <c r="B35" s="2" t="s">
        <v>101</v>
      </c>
      <c r="C35" s="2">
        <v>22</v>
      </c>
      <c r="D35" s="2" t="s">
        <v>12</v>
      </c>
      <c r="E35" s="2" t="s">
        <v>13</v>
      </c>
      <c r="F35" s="3">
        <v>45699</v>
      </c>
      <c r="G35" s="3">
        <v>45740</v>
      </c>
      <c r="H35" s="2">
        <v>800</v>
      </c>
      <c r="I35" s="2">
        <v>30</v>
      </c>
      <c r="J35" s="2" t="s">
        <v>35</v>
      </c>
      <c r="K35" s="4"/>
      <c r="L35" s="5">
        <f>ROUNDDOWN((Table13458[[#This Row],[End_Date]]-Table13458[[#This Row],[Start_Date]])/30,0)</f>
        <v>1</v>
      </c>
      <c r="M35" s="6" t="str">
        <f>IF(Table13458[[#This Row],[Referred_By]]&lt;&gt;"","YES","NO")</f>
        <v>NO</v>
      </c>
      <c r="N35" s="11">
        <f>Table13458[[#This Row],[Monthly_Fee]]*Table13458[[#This Row],[Membership_Duration_Months]]</f>
        <v>800</v>
      </c>
      <c r="O35" s="11" t="str">
        <f>IF(AND(Table13458[[#This Row],[Age]]&gt;=18,Table13458[[#This Row],[Age]]&lt;=30),"Youth",
   IF(AND(Table13458[[#This Row],[Age]]&gt;=31,Table13458[[#This Row],[Age]]&lt;=45),"Adult",
   IF(Table13458[[#This Row],[Age]]&gt;=46,"Senior","")))</f>
        <v>Youth</v>
      </c>
    </row>
    <row r="36" spans="1:15" x14ac:dyDescent="0.25">
      <c r="A36" s="2" t="s">
        <v>105</v>
      </c>
      <c r="B36" s="2" t="s">
        <v>106</v>
      </c>
      <c r="C36" s="2">
        <v>27</v>
      </c>
      <c r="D36" s="2" t="s">
        <v>27</v>
      </c>
      <c r="E36" s="2" t="s">
        <v>22</v>
      </c>
      <c r="F36" s="3">
        <v>45312</v>
      </c>
      <c r="G36" s="3">
        <v>45652</v>
      </c>
      <c r="H36" s="2">
        <v>1200</v>
      </c>
      <c r="I36" s="2">
        <v>27</v>
      </c>
      <c r="J36" s="2" t="s">
        <v>18</v>
      </c>
      <c r="K36" s="4"/>
      <c r="L36" s="5">
        <f>ROUNDDOWN((Table13458[[#This Row],[End_Date]]-Table13458[[#This Row],[Start_Date]])/30,0)</f>
        <v>11</v>
      </c>
      <c r="M36" s="6" t="str">
        <f>IF(Table13458[[#This Row],[Referred_By]]&lt;&gt;"","YES","NO")</f>
        <v>NO</v>
      </c>
      <c r="N36" s="11">
        <f>Table13458[[#This Row],[Monthly_Fee]]*Table13458[[#This Row],[Membership_Duration_Months]]</f>
        <v>13200</v>
      </c>
      <c r="O36" s="11" t="str">
        <f>IF(AND(Table13458[[#This Row],[Age]]&gt;=18,Table13458[[#This Row],[Age]]&lt;=30),"Youth",
   IF(AND(Table13458[[#This Row],[Age]]&gt;=31,Table13458[[#This Row],[Age]]&lt;=45),"Adult",
   IF(Table13458[[#This Row],[Age]]&gt;=46,"Senior","")))</f>
        <v>Youth</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7126-96BF-48B8-94B9-4D0E13DA3165}">
  <dimension ref="A1:H13"/>
  <sheetViews>
    <sheetView tabSelected="1" workbookViewId="0">
      <selection activeCell="AI26" sqref="AI26"/>
    </sheetView>
  </sheetViews>
  <sheetFormatPr defaultRowHeight="15" x14ac:dyDescent="0.25"/>
  <cols>
    <col min="1" max="2" width="17" bestFit="1" customWidth="1"/>
    <col min="3" max="3" width="5.7109375" bestFit="1" customWidth="1"/>
    <col min="4" max="4" width="10.5703125" bestFit="1" customWidth="1"/>
    <col min="5" max="5" width="7.5703125" bestFit="1" customWidth="1"/>
    <col min="6" max="6" width="8.42578125" bestFit="1" customWidth="1"/>
    <col min="7" max="7" width="5.5703125" bestFit="1" customWidth="1"/>
    <col min="8" max="8" width="11.28515625" bestFit="1" customWidth="1"/>
    <col min="9" max="27" width="3" bestFit="1" customWidth="1"/>
    <col min="28" max="28" width="11.28515625" bestFit="1" customWidth="1"/>
  </cols>
  <sheetData>
    <row r="1" spans="1:8" x14ac:dyDescent="0.25">
      <c r="A1" s="12" t="s">
        <v>120</v>
      </c>
      <c r="B1" s="12" t="s">
        <v>116</v>
      </c>
      <c r="C1" s="13"/>
      <c r="D1" s="13"/>
      <c r="E1" s="13"/>
      <c r="F1" s="13"/>
      <c r="G1" s="13"/>
      <c r="H1" s="13"/>
    </row>
    <row r="2" spans="1:8" x14ac:dyDescent="0.25">
      <c r="A2" s="12" t="s">
        <v>110</v>
      </c>
      <c r="B2" s="13" t="s">
        <v>14</v>
      </c>
      <c r="C2" s="13" t="s">
        <v>67</v>
      </c>
      <c r="D2" s="13" t="s">
        <v>23</v>
      </c>
      <c r="E2" s="13" t="s">
        <v>42</v>
      </c>
      <c r="F2" s="13" t="s">
        <v>35</v>
      </c>
      <c r="G2" s="13" t="s">
        <v>18</v>
      </c>
      <c r="H2" s="13" t="s">
        <v>111</v>
      </c>
    </row>
    <row r="3" spans="1:8" x14ac:dyDescent="0.25">
      <c r="A3" s="13" t="s">
        <v>27</v>
      </c>
      <c r="B3" s="14">
        <v>3</v>
      </c>
      <c r="C3" s="14">
        <v>3</v>
      </c>
      <c r="D3" s="14">
        <v>3</v>
      </c>
      <c r="E3" s="14">
        <v>2</v>
      </c>
      <c r="F3" s="14">
        <v>2</v>
      </c>
      <c r="G3" s="14">
        <v>2</v>
      </c>
      <c r="H3" s="14">
        <v>15</v>
      </c>
    </row>
    <row r="4" spans="1:8" x14ac:dyDescent="0.25">
      <c r="A4" s="13" t="s">
        <v>12</v>
      </c>
      <c r="B4" s="14">
        <v>2</v>
      </c>
      <c r="C4" s="14">
        <v>1</v>
      </c>
      <c r="D4" s="14">
        <v>2</v>
      </c>
      <c r="E4" s="14">
        <v>4</v>
      </c>
      <c r="F4" s="14">
        <v>8</v>
      </c>
      <c r="G4" s="14">
        <v>3</v>
      </c>
      <c r="H4" s="14">
        <v>20</v>
      </c>
    </row>
    <row r="5" spans="1:8" x14ac:dyDescent="0.25">
      <c r="A5" s="13" t="s">
        <v>111</v>
      </c>
      <c r="B5" s="14">
        <v>5</v>
      </c>
      <c r="C5" s="14">
        <v>4</v>
      </c>
      <c r="D5" s="14">
        <v>5</v>
      </c>
      <c r="E5" s="14">
        <v>6</v>
      </c>
      <c r="F5" s="14">
        <v>10</v>
      </c>
      <c r="G5" s="14">
        <v>5</v>
      </c>
      <c r="H5" s="14">
        <v>35</v>
      </c>
    </row>
    <row r="9" spans="1:8" x14ac:dyDescent="0.25">
      <c r="A9" s="8" t="s">
        <v>110</v>
      </c>
      <c r="B9" t="s">
        <v>120</v>
      </c>
    </row>
    <row r="10" spans="1:8" x14ac:dyDescent="0.25">
      <c r="A10" s="9" t="s">
        <v>121</v>
      </c>
      <c r="B10" s="23">
        <v>13</v>
      </c>
    </row>
    <row r="11" spans="1:8" x14ac:dyDescent="0.25">
      <c r="A11" s="9" t="s">
        <v>122</v>
      </c>
      <c r="B11" s="23">
        <v>9</v>
      </c>
    </row>
    <row r="12" spans="1:8" x14ac:dyDescent="0.25">
      <c r="A12" s="9" t="s">
        <v>123</v>
      </c>
      <c r="B12" s="23">
        <v>13</v>
      </c>
    </row>
    <row r="13" spans="1:8" x14ac:dyDescent="0.25">
      <c r="A13" s="9" t="s">
        <v>111</v>
      </c>
      <c r="B13" s="23">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1</vt:lpstr>
      <vt:lpstr>2</vt:lpstr>
      <vt:lpstr>2a</vt:lpstr>
      <vt:lpstr>3</vt:lpstr>
      <vt:lpstr>3a</vt:lpstr>
      <vt:lpstr>4a</vt:lpstr>
      <vt:lpstr>4b</vt:lpstr>
      <vt:lpstr>5</vt:lpstr>
      <vt:lpstr>6</vt:lpstr>
      <vt:lpstr>6a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DIPANJAN DUTTA</cp:lastModifiedBy>
  <dcterms:created xsi:type="dcterms:W3CDTF">2025-04-06T20:54:03Z</dcterms:created>
  <dcterms:modified xsi:type="dcterms:W3CDTF">2026-03-12T14:39:52Z</dcterms:modified>
</cp:coreProperties>
</file>